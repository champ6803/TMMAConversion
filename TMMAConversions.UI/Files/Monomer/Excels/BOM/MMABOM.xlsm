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\TMMA\All_Preload_Data_for_Conversion\"/>
    </mc:Choice>
  </mc:AlternateContent>
  <bookViews>
    <workbookView xWindow="0" yWindow="0" windowWidth="20460" windowHeight="6225" firstSheet="1" activeTab="4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<sst xmlns="http://schemas.openxmlformats.org/spreadsheetml/2006/main" count="3855" uniqueCount="1612">
  <si>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</si>
  <si>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</si>
  <si>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</si>
  <si>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</si>
  <si>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</si>
  <si>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</si>
  <si>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</si>
  <si>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</si>
  <si>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</si>
  <si>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</si>
  <si>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IER(TBA)</t>
  </si>
  <si>
    <t>Pt Catalyst</t>
  </si>
  <si>
    <t>Catalyst Support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</si>
  <si>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</si>
  <si>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</si>
  <si>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</si>
  <si>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</si>
  <si>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</si>
  <si>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</si>
  <si>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</si>
  <si>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</si>
  <si>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</si>
  <si>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</si>
  <si>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</si>
  <si>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</si>
  <si>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</si>
  <si>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</si>
  <si>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</si>
  <si>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</si>
  <si>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</si>
  <si>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</si>
  <si>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</si>
  <si>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</si>
  <si>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</si>
  <si>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</si>
  <si>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</si>
  <si>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</si>
  <si>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</si>
  <si>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</si>
  <si>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</si>
  <si>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</si>
  <si>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</si>
  <si>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</si>
  <si>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</si>
  <si>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</si>
  <si>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</si>
  <si>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</si>
  <si>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</si>
  <si>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</si>
  <si>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</si>
  <si>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</si>
  <si>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</si>
  <si>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</si>
  <si>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</si>
  <si>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</si>
  <si>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</si>
  <si>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</si>
  <si>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</si>
  <si>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</si>
  <si>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</si>
  <si>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</si>
  <si>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</si>
  <si>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</si>
  <si>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</si>
  <si>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</si>
  <si>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</si>
  <si>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</si>
  <si>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</si>
  <si>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</si>
  <si>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</si>
  <si>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</si>
  <si>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</si>
  <si>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</si>
  <si>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</si>
  <si>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</si>
  <si>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</si>
  <si>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</si>
  <si>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</si>
  <si>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</si>
  <si>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</si>
  <si>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</si>
  <si>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</si>
  <si>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</si>
  <si>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</si>
  <si>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</si>
  <si>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</si>
  <si>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</si>
  <si>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</si>
  <si>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</si>
  <si>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</si>
  <si>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</si>
  <si>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</si>
  <si>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</si>
  <si>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</si>
  <si>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</si>
  <si>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</si>
  <si>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</si>
  <si>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</si>
  <si>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</si>
  <si>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</si>
  <si>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</si>
  <si>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</si>
  <si>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</si>
  <si>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</si>
  <si>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</si>
  <si>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</si>
  <si>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</si>
  <si>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</si>
  <si>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</si>
  <si>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</si>
  <si>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</si>
  <si>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</si>
  <si>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</si>
  <si>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</si>
  <si>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</si>
  <si>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</si>
  <si>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</si>
  <si>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</si>
  <si>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</si>
  <si>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</si>
  <si>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</si>
  <si>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</si>
  <si>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</si>
  <si>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</si>
  <si>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</si>
  <si>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</si>
  <si>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</si>
  <si>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</si>
  <si>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</si>
  <si>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</si>
  <si>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</si>
  <si>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</si>
  <si>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</si>
  <si>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</si>
  <si>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</si>
  <si>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</si>
  <si>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</si>
  <si>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</si>
  <si>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</si>
  <si>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</si>
  <si>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</si>
  <si>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</si>
  <si>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</si>
  <si>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</si>
  <si>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</si>
  <si>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</si>
  <si>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</si>
  <si>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</si>
  <si>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</si>
  <si>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</si>
  <si>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</si>
  <si>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</si>
  <si>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</si>
  <si>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</si>
  <si>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</si>
  <si>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</si>
  <si>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</si>
  <si>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</si>
  <si>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</si>
  <si>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</si>
  <si>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</si>
  <si>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</si>
  <si>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</si>
  <si>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</si>
  <si>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</si>
  <si>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</si>
  <si>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</si>
  <si>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</si>
  <si>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</si>
  <si>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</si>
  <si>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</si>
  <si>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</si>
  <si>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</si>
  <si>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</si>
  <si>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</si>
  <si>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</si>
  <si>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</si>
  <si>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</si>
  <si>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</si>
  <si>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</si>
  <si>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</si>
  <si>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</si>
  <si>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</si>
  <si>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</si>
  <si>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</si>
  <si>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</si>
  <si>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</si>
  <si>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</si>
  <si>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</si>
  <si>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</si>
  <si>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</si>
  <si>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</si>
  <si>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</si>
  <si>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</si>
  <si>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</si>
  <si>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</si>
  <si>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</si>
  <si>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</si>
  <si>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</si>
  <si>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</si>
  <si>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</si>
  <si>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</si>
  <si>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</si>
  <si>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</si>
  <si>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</si>
  <si>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</si>
  <si>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</si>
  <si>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</si>
  <si>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</si>
  <si>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</si>
  <si>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</si>
  <si>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</si>
  <si>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</si>
  <si>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</si>
  <si>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</si>
  <si>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</si>
  <si>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</si>
  <si>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</si>
  <si>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</si>
  <si>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</si>
  <si>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</si>
  <si>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</si>
  <si>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</si>
  <si>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</si>
  <si>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</si>
  <si>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</si>
  <si>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</si>
  <si>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</si>
  <si>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</si>
  <si>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</si>
  <si>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</si>
  <si>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</si>
  <si>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</si>
  <si>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</si>
  <si>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</si>
  <si>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</si>
  <si>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</si>
  <si>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</si>
  <si>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</si>
  <si>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</si>
  <si>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</si>
  <si>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</si>
  <si>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</si>
  <si>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</si>
  <si>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</si>
  <si>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</si>
  <si>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</si>
  <si>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</si>
  <si>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</si>
  <si>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</si>
  <si>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</si>
  <si>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</si>
  <si>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</si>
  <si>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</si>
  <si>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</si>
  <si>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</si>
  <si>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</si>
  <si>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</si>
  <si>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</si>
  <si>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</si>
  <si>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</si>
  <si>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</si>
  <si>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</si>
  <si>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</si>
  <si>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</si>
  <si>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</si>
  <si>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</si>
  <si>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</si>
  <si>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</si>
  <si>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</si>
  <si>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</si>
  <si>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</si>
  <si>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</si>
  <si>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</si>
  <si>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</si>
  <si>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</si>
  <si>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</si>
  <si>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</si>
  <si>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</si>
  <si>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</si>
  <si>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</si>
  <si>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</si>
  <si>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</si>
  <si>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</si>
  <si>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</si>
  <si>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</si>
  <si>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</si>
  <si>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</si>
  <si>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</si>
  <si>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</si>
  <si>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</si>
  <si>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</si>
  <si>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</si>
  <si>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</si>
  <si>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</si>
  <si>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</si>
  <si>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</si>
  <si>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</si>
  <si>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</si>
  <si>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</si>
  <si>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</si>
  <si>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</si>
  <si>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</si>
  <si>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</si>
  <si>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</si>
  <si>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</si>
  <si>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</si>
  <si>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</si>
  <si>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</si>
  <si>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</si>
  <si>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</si>
  <si>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</si>
  <si>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</si>
  <si>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</si>
  <si>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</si>
  <si>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</si>
  <si>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</si>
  <si>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</si>
  <si>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</si>
  <si>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</si>
  <si>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</si>
  <si>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</si>
  <si>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</si>
  <si>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</si>
  <si>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</si>
  <si>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</si>
  <si>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</si>
  <si>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</si>
  <si>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</si>
  <si>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</si>
  <si>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</si>
  <si>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</si>
  <si>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</si>
  <si>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</si>
  <si>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</si>
  <si>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</si>
  <si>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</si>
  <si>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</si>
  <si>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</si>
  <si>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</si>
  <si>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</si>
  <si>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</si>
  <si>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</si>
  <si>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</si>
  <si>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</si>
  <si>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</si>
  <si>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</si>
  <si>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</si>
  <si>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</si>
  <si>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</si>
  <si>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</si>
  <si>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</si>
  <si>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</si>
  <si>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</si>
  <si>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</si>
  <si>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</si>
  <si>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</si>
  <si>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</si>
  <si>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</si>
  <si>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</si>
  <si>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</si>
  <si>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</si>
  <si>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</si>
  <si>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</si>
  <si>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</si>
  <si>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</si>
  <si>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</si>
  <si>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</si>
  <si>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</si>
  <si>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</si>
  <si>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</si>
  <si>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</si>
  <si>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</si>
  <si>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</si>
  <si>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</si>
  <si>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</si>
  <si>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</si>
  <si>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</si>
  <si>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</si>
  <si>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</si>
  <si>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</si>
  <si>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</si>
  <si>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</si>
  <si>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</si>
  <si>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</si>
  <si>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</si>
  <si>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</si>
  <si>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</si>
  <si>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</si>
  <si>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</si>
  <si>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</si>
  <si>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</si>
  <si>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</si>
  <si>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</si>
  <si>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</si>
  <si>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</si>
  <si>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</si>
  <si>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</si>
  <si>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</si>
  <si>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</si>
  <si>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</si>
  <si>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</si>
  <si>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</si>
  <si>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</si>
  <si>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</si>
  <si>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</si>
  <si>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</si>
  <si>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</si>
  <si>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</si>
  <si>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</si>
  <si>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</si>
  <si>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</si>
  <si>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</si>
  <si>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</si>
  <si>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</si>
  <si>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</si>
  <si>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</si>
  <si>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</si>
  <si>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</si>
  <si>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</si>
  <si>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</si>
  <si>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</si>
  <si>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</si>
  <si>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</si>
  <si>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</si>
  <si>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</si>
  <si>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</si>
  <si>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</si>
  <si>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</si>
  <si>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</si>
  <si>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</si>
  <si>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</si>
  <si>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</si>
  <si>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</si>
  <si>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</si>
  <si>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</si>
  <si>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</si>
  <si>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</si>
  <si>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</si>
  <si>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</si>
  <si>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</si>
  <si>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</si>
  <si>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</si>
  <si>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</si>
  <si>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</si>
  <si>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</si>
  <si>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</si>
  <si>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</si>
  <si>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</si>
  <si>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</si>
  <si>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</si>
  <si>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</si>
  <si>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</si>
  <si>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</si>
  <si>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</si>
  <si>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</si>
  <si>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</si>
  <si>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</si>
  <si>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</si>
  <si>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</si>
  <si>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</si>
  <si>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</si>
  <si>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</si>
  <si>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</si>
  <si>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</si>
  <si>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</si>
  <si>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</si>
  <si>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</si>
  <si>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</si>
  <si>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</si>
  <si>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</si>
  <si>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</si>
  <si>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</si>
  <si>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</si>
  <si>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</si>
  <si>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</si>
  <si>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</si>
  <si>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</si>
  <si>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</si>
  <si>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</si>
  <si>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</si>
  <si>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</si>
  <si>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</si>
  <si>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</si>
  <si>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</si>
  <si>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</si>
  <si>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</si>
  <si>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</si>
  <si>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</si>
  <si>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</si>
  <si>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</si>
  <si>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</si>
  <si>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</si>
  <si>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</si>
  <si>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</si>
  <si>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</si>
  <si>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</si>
  <si>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</si>
  <si>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</si>
  <si>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</si>
  <si>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</si>
  <si>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</si>
  <si>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</si>
  <si>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</si>
  <si>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</si>
  <si>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</si>
  <si>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</si>
  <si>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</si>
  <si>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</si>
  <si>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</si>
  <si>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</si>
  <si>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</si>
  <si>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</si>
  <si>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</si>
  <si>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</si>
  <si>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</si>
  <si>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</si>
  <si>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</si>
  <si>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</si>
  <si>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</si>
  <si>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</si>
  <si>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</si>
  <si>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</si>
  <si>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</si>
  <si>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</si>
  <si>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</si>
  <si>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</si>
  <si>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</si>
  <si>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</si>
  <si>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</si>
  <si>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</si>
  <si>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</si>
  <si>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</si>
  <si>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</si>
  <si>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</si>
  <si>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</si>
  <si>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</si>
  <si>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</si>
  <si>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</si>
  <si>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</si>
  <si>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</si>
  <si>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</si>
  <si>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</si>
  <si>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</si>
  <si>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</si>
  <si>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</si>
  <si>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</si>
  <si>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</si>
  <si>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</si>
  <si>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</si>
  <si>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</si>
  <si>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</si>
  <si>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</si>
  <si>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</si>
  <si>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</si>
  <si>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</si>
  <si>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</si>
  <si>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</si>
  <si>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</si>
  <si>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</si>
  <si>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</si>
  <si>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</si>
  <si>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</si>
  <si>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</si>
  <si>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</si>
  <si>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</si>
  <si>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</si>
  <si>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</si>
  <si>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</si>
  <si>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</si>
  <si>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</si>
  <si>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</si>
  <si>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</si>
  <si>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</si>
  <si>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</si>
  <si>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</si>
  <si>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</si>
  <si>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</si>
  <si>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</si>
  <si>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</si>
  <si>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</si>
  <si>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</si>
  <si>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</si>
  <si>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</si>
  <si>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</si>
  <si>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</si>
  <si>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</si>
  <si>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</si>
  <si>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</si>
  <si>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</si>
  <si>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</si>
  <si>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</si>
  <si>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</si>
  <si>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</si>
  <si>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</si>
  <si>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</si>
  <si>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</si>
  <si>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</si>
  <si>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</si>
  <si>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</si>
  <si>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</si>
  <si>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</si>
  <si>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</si>
  <si>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</si>
  <si>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</si>
  <si>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</si>
  <si>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</si>
  <si>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</si>
  <si>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</si>
  <si>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</si>
  <si>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</si>
  <si>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</si>
  <si>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</si>
  <si>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</si>
  <si>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</si>
  <si>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</si>
  <si>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</si>
  <si>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</si>
  <si>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</si>
  <si>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</si>
  <si>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</si>
  <si>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</si>
  <si>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</si>
  <si>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</si>
  <si>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</si>
  <si>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</si>
  <si>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</si>
  <si>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</si>
  <si>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</si>
  <si>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</si>
  <si>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</si>
  <si>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</si>
  <si>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</si>
  <si>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</si>
  <si>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</si>
  <si>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</si>
  <si>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</si>
  <si>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</si>
  <si>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</si>
  <si>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</si>
  <si>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</si>
  <si>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</si>
  <si>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</si>
  <si>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</si>
  <si>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</si>
  <si>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</si>
  <si>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</si>
  <si>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</si>
  <si>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</si>
  <si>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</si>
  <si>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</si>
  <si>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</si>
  <si>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</si>
  <si>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</si>
  <si>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</si>
  <si>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</si>
  <si>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</si>
  <si>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</si>
  <si>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</si>
  <si>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</si>
  <si>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</si>
  <si>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</si>
  <si>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</si>
  <si>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</si>
  <si>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</si>
  <si>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</si>
  <si>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</si>
  <si>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</si>
  <si>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</si>
  <si>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</si>
  <si>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</si>
  <si>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</si>
  <si>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</si>
  <si>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</si>
  <si>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</si>
  <si>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</si>
  <si>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</si>
  <si>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</si>
  <si>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</si>
  <si>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</si>
  <si>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</si>
  <si>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</si>
  <si>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</si>
  <si>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</si>
  <si>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</si>
  <si>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</si>
  <si>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</si>
  <si>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</si>
  <si>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</si>
  <si>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</si>
  <si>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</si>
  <si>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</si>
  <si>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</si>
  <si>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</si>
  <si>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</si>
  <si>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</si>
  <si>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</si>
  <si>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</si>
  <si>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</si>
  <si>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</si>
  <si>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</si>
  <si>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</si>
  <si>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</si>
  <si>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</si>
  <si>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</si>
  <si>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</si>
  <si>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</si>
  <si>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</si>
  <si>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</si>
  <si>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</si>
  <si>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</si>
  <si>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</si>
  <si>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</si>
  <si>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</si>
  <si>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</si>
  <si>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</si>
  <si>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</si>
  <si>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</si>
  <si>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</si>
  <si>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</si>
  <si>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</si>
  <si>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</si>
  <si>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</si>
  <si>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</si>
  <si>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</si>
  <si>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</si>
  <si>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</si>
  <si>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</si>
  <si>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</si>
  <si>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</si>
  <si>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</si>
  <si>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</si>
  <si>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</si>
  <si>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</si>
  <si>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</si>
  <si>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</si>
  <si>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</si>
  <si>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</si>
  <si>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</si>
  <si>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</si>
  <si>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</si>
  <si>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</si>
  <si>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</si>
  <si>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</si>
  <si>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</si>
  <si>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</si>
  <si>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</si>
  <si>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</si>
  <si>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</si>
  <si>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</si>
  <si>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</si>
  <si>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</si>
  <si>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</si>
  <si>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</si>
  <si>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</si>
  <si>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</si>
  <si>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</si>
  <si>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</si>
  <si>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</si>
  <si>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</si>
  <si>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</si>
  <si>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</si>
  <si>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</si>
  <si>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</si>
  <si>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</si>
  <si>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</si>
  <si>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</si>
  <si>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</si>
  <si>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</si>
  <si>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</si>
  <si>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</si>
  <si>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</si>
  <si>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</si>
  <si>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</si>
  <si>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</si>
  <si>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</si>
  <si>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</si>
  <si>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</si>
  <si>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</si>
  <si>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</si>
  <si>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</si>
  <si>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</si>
  <si>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</si>
  <si>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</si>
  <si>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</si>
  <si>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</si>
  <si>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</si>
  <si>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</si>
  <si>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</si>
  <si>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</si>
  <si>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</si>
  <si>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</si>
  <si>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</si>
  <si>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</si>
  <si>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</si>
  <si>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</si>
  <si>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</si>
  <si>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</si>
  <si>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</si>
  <si>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</si>
  <si>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</si>
  <si>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</si>
  <si>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</si>
  <si>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</si>
  <si>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</si>
  <si>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</si>
  <si>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</si>
  <si>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</si>
  <si>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</si>
  <si>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</si>
  <si>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</si>
  <si>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</si>
  <si>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</si>
  <si>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</si>
  <si>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</si>
  <si>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</si>
  <si>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</si>
  <si>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</si>
  <si>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</si>
  <si>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</si>
  <si>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</si>
  <si>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</si>
  <si>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</si>
  <si>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</si>
  <si>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</si>
  <si>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</si>
  <si>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</si>
  <si>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</si>
  <si>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</si>
  <si>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</si>
  <si>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</si>
  <si>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</si>
  <si>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</si>
  <si>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</si>
  <si>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</si>
  <si>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</si>
  <si>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</si>
  <si>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</si>
  <si>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</si>
  <si>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</si>
  <si>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</si>
  <si>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</si>
  <si>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</si>
  <si>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</si>
  <si>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</si>
  <si>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</si>
  <si>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</si>
  <si>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</si>
  <si>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</si>
  <si>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</si>
  <si>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</si>
  <si>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</si>
  <si>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</si>
  <si>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</si>
  <si>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</si>
  <si>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</si>
  <si>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</si>
  <si>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</si>
  <si>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</si>
  <si>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</si>
  <si>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</si>
  <si>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</si>
  <si>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</si>
  <si>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</si>
  <si>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</si>
  <si>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</si>
  <si>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</si>
  <si>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</si>
  <si>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</si>
  <si>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</si>
  <si>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</si>
  <si>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</si>
  <si>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</si>
  <si>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</si>
  <si>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</si>
  <si>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</si>
  <si>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</si>
  <si>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</si>
  <si>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</si>
  <si>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</si>
  <si>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</si>
  <si>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</si>
  <si>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</si>
  <si>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</si>
  <si>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</si>
  <si>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</si>
  <si>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</si>
  <si>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</si>
  <si>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</si>
  <si>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</si>
  <si>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</si>
  <si>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</si>
  <si>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</si>
  <si>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</si>
  <si>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</si>
  <si>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</si>
  <si>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</si>
  <si>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</si>
  <si>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</si>
  <si>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</si>
  <si>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</si>
  <si>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</si>
  <si>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</si>
  <si>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</si>
  <si>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</si>
  <si>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</si>
  <si>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</si>
  <si>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</si>
  <si>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</si>
  <si>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</si>
  <si>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</si>
  <si>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</si>
  <si>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</si>
  <si>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</si>
  <si>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</si>
  <si>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</si>
  <si>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</si>
  <si>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</si>
  <si>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</si>
  <si>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</si>
  <si>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</si>
  <si>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</si>
  <si>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</si>
  <si>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</si>
  <si>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</si>
  <si>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</si>
  <si>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</si>
  <si>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</si>
  <si>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</si>
  <si>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</si>
  <si>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</si>
  <si>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</si>
  <si>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</si>
  <si>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</si>
  <si>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</si>
  <si>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</si>
  <si>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</si>
  <si>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</si>
  <si>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</si>
  <si>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</si>
  <si>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</si>
  <si>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</si>
  <si>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</si>
  <si>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</si>
  <si>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</si>
  <si>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</si>
  <si>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</si>
  <si>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</si>
  <si>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</si>
  <si>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</si>
  <si>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</si>
  <si>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</si>
  <si>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</si>
  <si>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</si>
  <si>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</si>
  <si>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</si>
  <si>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</si>
  <si>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</si>
  <si>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</si>
  <si>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</si>
  <si>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</si>
  <si>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</si>
  <si>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</si>
  <si>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</si>
  <si>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</si>
  <si>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</si>
  <si>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</si>
  <si>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</si>
  <si>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</si>
  <si>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</si>
  <si>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</si>
  <si>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</si>
  <si>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</si>
  <si>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</si>
  <si>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</si>
  <si>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</si>
  <si>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</si>
  <si>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</si>
  <si>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</si>
  <si>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</si>
  <si>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</si>
  <si>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</si>
  <si>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</si>
  <si>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</si>
  <si>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</si>
  <si>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</si>
  <si>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</si>
  <si>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</si>
  <si>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</si>
  <si>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</si>
  <si>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</si>
  <si>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</si>
  <si>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</si>
  <si>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</si>
  <si>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</si>
  <si>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</si>
  <si>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</si>
  <si>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</si>
  <si>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</si>
  <si>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</si>
  <si>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</si>
  <si>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</si>
  <si>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</si>
  <si>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</si>
  <si>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</si>
  <si>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</si>
  <si>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</si>
  <si>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</si>
  <si>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</si>
  <si>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</si>
  <si>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</si>
  <si>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</si>
  <si>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</si>
  <si>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</si>
  <si>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</si>
  <si>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</si>
  <si>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</si>
  <si>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</si>
  <si>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</si>
  <si>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</si>
  <si>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</si>
  <si>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</si>
  <si>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</si>
  <si>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</si>
  <si>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</si>
  <si>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</si>
  <si>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</si>
  <si>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</si>
  <si>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</si>
  <si>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</si>
  <si>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</si>
  <si>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</si>
  <si>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</si>
  <si>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</si>
  <si>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</si>
  <si>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</si>
  <si>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</si>
  <si>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</si>
  <si>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</si>
  <si>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</si>
  <si>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</si>
  <si>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</si>
  <si>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</si>
  <si>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</si>
  <si>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</si>
  <si>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</si>
  <si>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</si>
  <si>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</si>
  <si>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</si>
  <si>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</si>
  <si>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</si>
  <si>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</si>
  <si>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</si>
  <si>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</si>
  <si>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</si>
  <si>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</si>
  <si>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</si>
  <si>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</si>
  <si>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</si>
  <si>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</si>
  <si>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</si>
  <si>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</si>
  <si>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</si>
  <si>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</si>
  <si>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</si>
  <si>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</si>
  <si>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</si>
  <si>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</si>
  <si>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</si>
  <si>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</si>
  <si>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</si>
  <si>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</si>
  <si>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</si>
  <si>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</si>
  <si>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</si>
  <si>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</si>
  <si>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</si>
  <si>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</si>
  <si>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</si>
  <si>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</si>
  <si>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</si>
  <si>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</si>
  <si>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</si>
  <si>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</si>
  <si>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</si>
  <si>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</si>
  <si>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</si>
  <si>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</si>
  <si>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</si>
  <si>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</si>
  <si>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</si>
  <si>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</si>
  <si>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</si>
  <si>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</si>
  <si>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</si>
  <si>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</si>
  <si>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</si>
  <si>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</si>
  <si>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</si>
  <si>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</si>
  <si>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</si>
  <si>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</si>
  <si>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</si>
  <si>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</si>
  <si>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</si>
  <si>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</si>
  <si>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</si>
  <si>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</si>
  <si>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</si>
  <si>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</si>
  <si>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</si>
  <si>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</si>
  <si>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</si>
  <si>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</si>
  <si>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</si>
  <si>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</si>
  <si>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</si>
  <si>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</si>
  <si>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</si>
  <si>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</si>
  <si>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</si>
  <si>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</si>
  <si>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</si>
  <si>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</si>
  <si>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</si>
  <si>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</si>
  <si>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</si>
  <si>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</si>
  <si>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</si>
  <si>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</si>
  <si>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</si>
  <si>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</si>
  <si>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</si>
  <si>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</si>
  <si>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</si>
  <si>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</si>
  <si>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</si>
  <si>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</si>
  <si>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</si>
  <si>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</si>
  <si>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</si>
  <si>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</si>
  <si>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</si>
  <si>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</si>
  <si>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</si>
  <si>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</si>
  <si>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</si>
  <si>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</si>
  <si>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</si>
  <si>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</si>
  <si>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</si>
  <si>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</si>
  <si>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</si>
  <si>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</si>
  <si>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</si>
  <si>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</si>
  <si>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</si>
  <si>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</si>
  <si>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</si>
  <si>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</si>
  <si>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</si>
  <si>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</si>
  <si>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</si>
  <si>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</si>
  <si>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</si>
  <si>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</si>
  <si>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</si>
  <si>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</si>
  <si>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</si>
  <si>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</si>
  <si>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</si>
  <si>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</si>
  <si>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</si>
  <si>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</si>
  <si>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</si>
  <si>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</si>
  <si>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</si>
  <si>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</si>
  <si>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</si>
  <si>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</si>
  <si>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</si>
  <si>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</si>
  <si>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</si>
  <si>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</si>
  <si>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</si>
  <si>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</si>
  <si>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</si>
  <si>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</si>
  <si>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</si>
  <si>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</si>
  <si>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</si>
  <si>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</si>
  <si>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</si>
  <si>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</si>
  <si>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</si>
  <si>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</si>
  <si>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</si>
  <si>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</si>
  <si>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</si>
  <si>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</si>
  <si>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</si>
  <si>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</si>
  <si>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</si>
  <si>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</si>
  <si>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</si>
  <si>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</si>
  <si>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</si>
  <si>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</si>
  <si>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</si>
  <si>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</si>
  <si>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</si>
  <si>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</si>
  <si>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</si>
  <si>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</si>
  <si>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</si>
  <si>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</si>
  <si>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</si>
  <si>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</si>
  <si>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</si>
  <si>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</si>
  <si>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</si>
  <si>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</si>
  <si>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</si>
  <si>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</si>
  <si>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</si>
  <si>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</si>
  <si>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</si>
  <si>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</si>
  <si>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</si>
  <si>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</si>
  <si>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</si>
  <si>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B922CAT-IERMMA</t>
  </si>
  <si>
    <t>B922CAT-IERTBA</t>
  </si>
  <si>
    <t>B922CAT-FRBS701</t>
  </si>
  <si>
    <t>B922CAT-NS6A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</si>
  <si>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</si>
  <si>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</si>
  <si>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</si>
  <si>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</si>
  <si>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</si>
  <si>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</si>
  <si>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</si>
  <si>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</si>
  <si>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</si>
  <si>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</si>
  <si>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</si>
  <si>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</si>
  <si>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</si>
  <si>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</si>
  <si>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</si>
  <si>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</si>
  <si>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</si>
  <si>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</si>
  <si>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</si>
  <si>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</si>
  <si>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</si>
  <si>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</si>
  <si>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</si>
  <si>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</si>
  <si>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</si>
  <si>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</si>
  <si>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</si>
  <si>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</si>
  <si>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</si>
  <si>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</si>
  <si>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</si>
  <si>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</si>
  <si>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</si>
  <si>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</si>
  <si>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</si>
  <si>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</si>
  <si>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</si>
  <si>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</si>
  <si>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</si>
  <si>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</si>
  <si>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</si>
  <si>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</si>
  <si>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</si>
  <si>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</si>
  <si>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</si>
  <si>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</si>
  <si>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</si>
  <si>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</si>
  <si>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</si>
  <si>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</si>
  <si>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</si>
  <si>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</si>
  <si>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</si>
  <si>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</si>
  <si>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</si>
  <si>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</si>
  <si>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</si>
  <si>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</si>
  <si>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</si>
  <si>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</si>
  <si>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</si>
  <si>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</si>
  <si>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</si>
  <si>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</si>
  <si>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</si>
  <si>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</si>
  <si>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</si>
  <si>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</si>
  <si>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</si>
  <si>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</si>
  <si>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</si>
  <si>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</si>
  <si>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</si>
  <si>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</si>
  <si>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</si>
  <si>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</si>
  <si>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</si>
  <si>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</si>
  <si>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</si>
  <si>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</si>
  <si>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</si>
  <si>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</si>
  <si>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</si>
  <si>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</si>
  <si>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</si>
  <si>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</si>
  <si>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</si>
  <si>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</si>
  <si>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</si>
  <si>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</si>
  <si>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</si>
  <si>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</si>
  <si>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</si>
  <si>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</si>
  <si>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</si>
  <si>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</si>
  <si>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</si>
  <si>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</si>
  <si>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</si>
  <si>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</si>
  <si>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</si>
  <si>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</si>
  <si>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</si>
  <si>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</si>
  <si>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</si>
  <si>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</si>
  <si>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</si>
  <si>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</si>
  <si>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</si>
  <si>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</si>
  <si>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</si>
  <si>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</si>
  <si>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</si>
  <si>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</si>
  <si>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</si>
  <si>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</si>
  <si>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</si>
  <si>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</si>
  <si>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</si>
  <si>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</si>
  <si>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</si>
  <si>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</si>
  <si>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</si>
  <si>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</si>
  <si>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</si>
  <si>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</si>
  <si>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</si>
  <si>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</si>
  <si>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</si>
  <si>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</si>
  <si>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</si>
  <si>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</si>
  <si>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</si>
  <si>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</si>
  <si>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</si>
  <si>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</si>
  <si>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</si>
  <si>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</si>
  <si>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</si>
  <si>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</si>
  <si>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</si>
  <si>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</si>
  <si>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</si>
  <si>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</si>
  <si>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</si>
  <si>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</si>
  <si>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</si>
  <si>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</si>
  <si>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</si>
  <si>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</si>
  <si>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</si>
  <si>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</si>
  <si>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</si>
  <si>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</si>
  <si>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</si>
  <si>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</si>
  <si>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</si>
  <si>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</si>
  <si>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</si>
  <si>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</si>
  <si>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</si>
  <si>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</si>
  <si>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</si>
  <si>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</si>
  <si>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</si>
  <si>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</si>
  <si>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</si>
  <si>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</si>
  <si>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</si>
  <si>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</si>
  <si>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</si>
  <si>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</si>
  <si>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</si>
  <si>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</si>
  <si>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</si>
  <si>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</si>
  <si>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</si>
  <si>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</si>
  <si>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</si>
  <si>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</si>
  <si>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</si>
  <si>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</si>
  <si>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</si>
  <si>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</si>
  <si>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</si>
  <si>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</si>
  <si>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</si>
  <si>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</si>
  <si>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</si>
  <si>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</si>
  <si>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</si>
  <si>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</si>
  <si>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</si>
  <si>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</si>
  <si>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</si>
  <si>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</si>
  <si>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</si>
  <si>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</si>
  <si>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</si>
  <si>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</si>
  <si>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</si>
  <si>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</si>
  <si>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</si>
  <si>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</si>
  <si>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</si>
  <si>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</si>
  <si>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</si>
  <si>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</si>
  <si>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</si>
  <si>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</si>
  <si>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</si>
  <si>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</si>
  <si>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</si>
  <si>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</si>
  <si>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</si>
  <si>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</si>
  <si>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</si>
  <si>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</si>
  <si>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</si>
  <si>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</si>
  <si>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</si>
  <si>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</si>
  <si>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</si>
  <si>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</si>
  <si>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</si>
  <si>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</si>
  <si>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</si>
  <si>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</si>
  <si>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</si>
  <si>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</si>
  <si>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</si>
  <si>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</si>
  <si>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</si>
  <si>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</si>
  <si>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</si>
  <si>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</si>
  <si>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</si>
  <si>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</si>
  <si>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</si>
  <si>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</si>
  <si>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</si>
  <si>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</si>
  <si>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</si>
  <si>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</si>
  <si>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</si>
  <si>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</si>
  <si>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</si>
  <si>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</si>
  <si>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</si>
  <si>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</si>
  <si>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</si>
  <si>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</si>
  <si>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</si>
  <si>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</si>
  <si>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</si>
  <si>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</si>
  <si>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</si>
  <si>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</si>
  <si>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</si>
  <si>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</si>
  <si>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</si>
  <si>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</si>
  <si>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</si>
  <si>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</si>
  <si>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</si>
  <si>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</si>
  <si>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</si>
  <si>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</si>
  <si>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</si>
  <si>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</si>
  <si>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</si>
  <si>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</si>
  <si>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</si>
  <si>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</si>
  <si>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</si>
  <si>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</si>
  <si>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</si>
  <si>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</si>
  <si>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</si>
  <si>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</si>
  <si>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</si>
  <si>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</si>
  <si>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</si>
  <si>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</si>
  <si>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</si>
  <si>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</si>
  <si>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</si>
  <si>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</si>
  <si>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</si>
  <si>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</si>
  <si>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</si>
  <si>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</si>
  <si>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</si>
  <si>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</si>
  <si>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</si>
  <si>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</si>
  <si>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</si>
  <si>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</si>
  <si>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</si>
  <si>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</si>
  <si>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</si>
  <si>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</si>
  <si>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</si>
  <si>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</si>
  <si>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</si>
  <si>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</si>
  <si>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</si>
  <si>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</si>
  <si>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</si>
  <si>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</si>
  <si>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1300</t>
  </si>
  <si>
    <t>01From Lot Size</t>
  </si>
  <si>
    <t>01To Lot Size</t>
  </si>
  <si>
    <t>99999999</t>
  </si>
  <si>
    <t>NM3</t>
  </si>
  <si>
    <t>M3</t>
  </si>
  <si>
    <t>PC</t>
  </si>
  <si>
    <t>B925MEOHR</t>
  </si>
  <si>
    <t>B922CAT-GO22GRA</t>
  </si>
  <si>
    <t>B932CHM-B1N</t>
  </si>
  <si>
    <t>01Issue Storage Location</t>
  </si>
  <si>
    <t>01Receive Storage Location</t>
  </si>
  <si>
    <t>Authorization Group</t>
  </si>
  <si>
    <t>BM2</t>
  </si>
  <si>
    <t>BM1</t>
  </si>
  <si>
    <t>BL1</t>
  </si>
  <si>
    <t>LD00</t>
  </si>
  <si>
    <t>B95000IC</t>
  </si>
  <si>
    <t>B932CHM-TOLUENE1</t>
  </si>
  <si>
    <t>Toluene M1</t>
  </si>
  <si>
    <t>B932CHM-TOLUENE2</t>
  </si>
  <si>
    <t>Toluene M2</t>
  </si>
  <si>
    <t>L</t>
  </si>
  <si>
    <t>B922CAT-GO1-2</t>
  </si>
  <si>
    <t>B922CAT-CARTYPER</t>
  </si>
  <si>
    <t>B922CAT-CARTYPER-2</t>
  </si>
  <si>
    <t>B922CAT-GO22GRA-2</t>
  </si>
  <si>
    <t>GO-2 M2</t>
  </si>
  <si>
    <t>SUS Ring M2</t>
  </si>
  <si>
    <t>GO-1 M2</t>
  </si>
  <si>
    <t>B922CAT-IERTBA-2</t>
  </si>
  <si>
    <t>B922CAT-IERTBA-3</t>
  </si>
  <si>
    <t>B922CAT-SUPIERTBA</t>
  </si>
  <si>
    <t>B922CAT-SUPIERTBA-2</t>
  </si>
  <si>
    <t>B922CAT-SUPIERTBA-3</t>
  </si>
  <si>
    <t>IER(TBA) TBA2</t>
  </si>
  <si>
    <t>IER(TBA) TBA3</t>
  </si>
  <si>
    <t>Catalyst Support TBA2</t>
  </si>
  <si>
    <t>Catalyst Support TBA3</t>
  </si>
  <si>
    <t>B922CAT-FRBS701-2</t>
  </si>
  <si>
    <t>Catalyst Support M2</t>
  </si>
  <si>
    <t>B922CAT-CARTYPES-2</t>
  </si>
  <si>
    <t>B922CAT-IERMMA-2</t>
  </si>
  <si>
    <t>B922CAT-NS6A-2</t>
  </si>
  <si>
    <t>SUS Spring M2</t>
  </si>
  <si>
    <t>IER(MMA) - M2</t>
  </si>
  <si>
    <t>Pt Catalyst - M2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</si>
  <si>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</si>
  <si>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</si>
  <si>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</si>
  <si>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</si>
  <si>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</si>
  <si>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</si>
  <si>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</si>
  <si>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</si>
  <si>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</si>
  <si>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</si>
  <si>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</si>
  <si>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</si>
  <si>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</si>
  <si>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</si>
  <si>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</si>
  <si>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</si>
  <si>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</si>
  <si>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</si>
  <si>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Z11FNBMA2-T0MEHQ0150</t>
  </si>
  <si>
    <t>NBMA2 ISO-Tank MEHQ 15 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</si>
</sst>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2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  <xf numFmtId="164" fontId="0" fillId="2" borderId="0" xfId="0" applyNumberFormat="1" applyFill="1"/>
    <xf numFmtId="164" fontId="0" fillId="13" borderId="0" xfId="0" applyNumberFormat="1" applyFill="1"/>
    <xf numFmtId="0" fontId="0" fillId="13" borderId="0" xfId="0" quotePrefix="1" applyFill="1"/>
    <xf numFmtId="0" fontId="0" fillId="13" borderId="0" xfId="0" applyFill="1"/>
    <xf numFmtId="0" fontId="0" fillId="13" borderId="0" xfId="0" applyFill="1" applyBorder="1"/>
    <xf numFmtId="164" fontId="11" fillId="0" borderId="0" xfId="0" applyNumberFormat="1" applyFont="1" applyFill="1"/>
    <xf numFmtId="164" fontId="11" fillId="0" borderId="0" xfId="0" applyNumberFormat="1" applyFo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607</v>
      </c>
    </row>
    <row r="2" spans="1:13" x14ac:dyDescent="0.25">
      <c r="C2" s="28" t="s">
        <v>602</v>
      </c>
      <c r="D2" s="28" t="s">
        <v>601</v>
      </c>
    </row>
    <row r="3" spans="1:13" x14ac:dyDescent="0.25">
      <c r="C3" s="28" t="s">
        <v>603</v>
      </c>
      <c r="D3" s="28" t="s">
        <v>604</v>
      </c>
    </row>
    <row r="4" spans="1:13" x14ac:dyDescent="0.25">
      <c r="C4" s="28" t="s">
        <v>605</v>
      </c>
      <c r="D4" s="28" t="s">
        <v>601</v>
      </c>
    </row>
    <row r="7" spans="1:13" x14ac:dyDescent="0.25">
      <c r="A7" s="29" t="s">
        <v>92</v>
      </c>
      <c r="B7" s="29" t="s">
        <v>93</v>
      </c>
      <c r="C7" s="29" t="s">
        <v>2</v>
      </c>
      <c r="D7" s="29" t="s">
        <v>94</v>
      </c>
      <c r="E7" s="29" t="s">
        <v>606</v>
      </c>
      <c r="F7" s="29" t="s">
        <v>608</v>
      </c>
      <c r="G7" s="29" t="s">
        <v>609</v>
      </c>
      <c r="H7" s="29" t="s">
        <v>610</v>
      </c>
      <c r="I7" s="29" t="s">
        <v>611</v>
      </c>
      <c r="J7" s="29" t="s">
        <v>612</v>
      </c>
      <c r="K7" s="29" t="s">
        <v>613</v>
      </c>
      <c r="L7" s="29" t="s">
        <v>614</v>
      </c>
      <c r="M7" s="30" t="s">
        <v>615</v>
      </c>
    </row>
    <row r="8" spans="1:13" x14ac:dyDescent="0.25">
      <c r="A8" s="25">
        <v>81</v>
      </c>
      <c r="B8" s="25" t="s">
        <v>96</v>
      </c>
      <c r="C8" s="25" t="s">
        <v>27</v>
      </c>
      <c r="D8" s="25" t="s">
        <v>97</v>
      </c>
      <c r="E8" s="25" t="str">
        <f>RIGHT(LEFT(B8,6),3)</f>
        <v>F01</v>
      </c>
      <c r="F8" s="25"/>
      <c r="M8" s="25" t="s">
        <v>834</v>
      </c>
    </row>
    <row r="9" spans="1:13" x14ac:dyDescent="0.25">
      <c r="A9" s="25">
        <v>81</v>
      </c>
      <c r="B9" s="25" t="s">
        <v>262</v>
      </c>
      <c r="C9" s="25" t="s">
        <v>27</v>
      </c>
      <c r="D9" s="25" t="s">
        <v>263</v>
      </c>
      <c r="E9" s="25" t="str">
        <f t="shared" ref="E9:E15" si="0">RIGHT(LEFT(B9,6),3)</f>
        <v>F02</v>
      </c>
      <c r="F9" s="25"/>
      <c r="M9" s="25" t="s">
        <v>835</v>
      </c>
    </row>
    <row r="10" spans="1:13" x14ac:dyDescent="0.25">
      <c r="A10" s="25">
        <v>81</v>
      </c>
      <c r="B10" s="25" t="s">
        <v>443</v>
      </c>
      <c r="C10" s="25" t="s">
        <v>27</v>
      </c>
      <c r="D10" s="25" t="s">
        <v>444</v>
      </c>
      <c r="E10" s="25" t="str">
        <f t="shared" si="0"/>
        <v>F03</v>
      </c>
      <c r="F10" s="25"/>
      <c r="M10" s="25" t="s">
        <v>836</v>
      </c>
    </row>
    <row r="11" spans="1:13" x14ac:dyDescent="0.25">
      <c r="A11" s="25">
        <v>81</v>
      </c>
      <c r="B11" s="25" t="s">
        <v>493</v>
      </c>
      <c r="C11" s="25" t="s">
        <v>27</v>
      </c>
      <c r="D11" s="25" t="s">
        <v>494</v>
      </c>
      <c r="E11" s="25" t="str">
        <f t="shared" si="0"/>
        <v>F04</v>
      </c>
      <c r="F11" s="25"/>
      <c r="M11" s="25" t="s">
        <v>837</v>
      </c>
    </row>
    <row r="12" spans="1:13" x14ac:dyDescent="0.25">
      <c r="A12" s="25">
        <v>81</v>
      </c>
      <c r="B12" s="25" t="s">
        <v>545</v>
      </c>
      <c r="C12" s="25" t="s">
        <v>27</v>
      </c>
      <c r="D12" s="25" t="s">
        <v>95</v>
      </c>
      <c r="E12" s="25" t="str">
        <f t="shared" si="0"/>
        <v>F05</v>
      </c>
      <c r="F12" s="25"/>
      <c r="M12" s="25" t="s">
        <v>838</v>
      </c>
    </row>
    <row r="13" spans="1:13" x14ac:dyDescent="0.25">
      <c r="A13" s="25">
        <v>81</v>
      </c>
      <c r="B13" s="25" t="s">
        <v>546</v>
      </c>
      <c r="C13" s="25" t="s">
        <v>27</v>
      </c>
      <c r="D13" s="25" t="s">
        <v>547</v>
      </c>
      <c r="E13" s="25" t="str">
        <f t="shared" si="0"/>
        <v>F06</v>
      </c>
      <c r="F13" s="25"/>
      <c r="M13" s="25" t="s">
        <v>839</v>
      </c>
    </row>
    <row r="14" spans="1:13" x14ac:dyDescent="0.25">
      <c r="A14" s="25">
        <v>81</v>
      </c>
      <c r="B14" s="25" t="s">
        <v>558</v>
      </c>
      <c r="C14" s="25" t="s">
        <v>27</v>
      </c>
      <c r="D14" s="25" t="s">
        <v>559</v>
      </c>
      <c r="E14" s="25" t="str">
        <f t="shared" si="0"/>
        <v>F07</v>
      </c>
      <c r="F14" s="25"/>
      <c r="M14" s="25" t="s">
        <v>840</v>
      </c>
    </row>
    <row r="15" spans="1:13" x14ac:dyDescent="0.25">
      <c r="A15" s="25">
        <v>81</v>
      </c>
      <c r="B15" s="25" t="s">
        <v>570</v>
      </c>
      <c r="C15" s="25" t="s">
        <v>27</v>
      </c>
      <c r="D15" s="25" t="s">
        <v>571</v>
      </c>
      <c r="E15" s="25" t="str">
        <f t="shared" si="0"/>
        <v>F08</v>
      </c>
      <c r="F15" s="25"/>
      <c r="M15" s="25" t="s">
        <v>841</v>
      </c>
    </row>
    <row r="16" spans="1:13" x14ac:dyDescent="0.25">
      <c r="A16" s="25">
        <v>81</v>
      </c>
      <c r="B16" s="25" t="s">
        <v>98</v>
      </c>
      <c r="C16" s="25" t="s">
        <v>27</v>
      </c>
      <c r="D16" s="25" t="s">
        <v>99</v>
      </c>
      <c r="E16" s="25" t="str">
        <f t="shared" ref="E16" si="1">RIGHT(LEFT(B16,6),3)</f>
        <v>F01</v>
      </c>
      <c r="F16" s="25" t="str">
        <f>RIGHT(LEFT(B16,9),2)</f>
        <v>B0</v>
      </c>
      <c r="G16" s="25" t="str">
        <f>RIGHT(LEFT(B16,11),2)</f>
        <v>01</v>
      </c>
      <c r="H16" s="25" t="str">
        <f>RIGHT(LEFT(B16,15),4)</f>
        <v>0090</v>
      </c>
      <c r="I16" s="25" t="str">
        <f>IF(OR(F16="DV",F16="DZ"),"x","")</f>
        <v/>
      </c>
      <c r="J16" s="25" t="str">
        <f>IF(G16="05","x",IF(G16="03","r",""))</f>
        <v/>
      </c>
      <c r="K16" s="25" t="str">
        <f>IF(J16="r","01",G16)</f>
        <v>01</v>
      </c>
      <c r="L16" s="25" t="str">
        <f>IF(OR(I16="x",J16="x"),"DeleteRow",E16&amp;F16&amp;K16&amp;H16)</f>
        <v>F01B0010090</v>
      </c>
      <c r="M16" s="25" t="s">
        <v>616</v>
      </c>
    </row>
    <row r="17" spans="1:13" x14ac:dyDescent="0.25">
      <c r="A17" s="25">
        <v>81</v>
      </c>
      <c r="B17" s="27" t="s">
        <v>100</v>
      </c>
      <c r="C17" s="27" t="s">
        <v>27</v>
      </c>
      <c r="D17" s="27" t="s">
        <v>101</v>
      </c>
      <c r="E17" s="25" t="str">
        <f t="shared" ref="E17:E80" si="2">RIGHT(LEFT(B17,6),3)</f>
        <v>F01</v>
      </c>
      <c r="F17" s="25" t="str">
        <f t="shared" ref="F17:F80" si="3">RIGHT(LEFT(B17,9),2)</f>
        <v>B0</v>
      </c>
      <c r="G17" s="25" t="str">
        <f t="shared" ref="G17:G80" si="4">RIGHT(LEFT(B17,11),2)</f>
        <v>02</v>
      </c>
      <c r="H17" s="25" t="str">
        <f t="shared" ref="H17:H80" si="5">RIGHT(LEFT(B17,15),4)</f>
        <v>0150</v>
      </c>
      <c r="I17" s="25" t="str">
        <f t="shared" ref="I17:I80" si="6">IF(OR(F17="DV",F17="DZ"),"x","")</f>
        <v/>
      </c>
      <c r="J17" s="25" t="str">
        <f t="shared" ref="J17:J80" si="7">IF(G17="05","x",IF(G17="03","r",""))</f>
        <v/>
      </c>
      <c r="K17" s="25" t="str">
        <f t="shared" ref="K17:K80" si="8">IF(J17="r","01",G17)</f>
        <v>02</v>
      </c>
      <c r="L17" s="25" t="str">
        <f t="shared" ref="L17:L80" si="9">IF(OR(I17="x",J17="x"),"DeleteRow",E17&amp;F17&amp;K17&amp;H17)</f>
        <v>F01B0020150</v>
      </c>
      <c r="M17" s="25" t="s">
        <v>617</v>
      </c>
    </row>
    <row r="18" spans="1:13" x14ac:dyDescent="0.25">
      <c r="A18" s="25">
        <v>81</v>
      </c>
      <c r="B18" s="25" t="s">
        <v>102</v>
      </c>
      <c r="C18" s="25" t="s">
        <v>27</v>
      </c>
      <c r="D18" s="25" t="s">
        <v>103</v>
      </c>
      <c r="E18" s="25" t="str">
        <f t="shared" si="2"/>
        <v>F01</v>
      </c>
      <c r="F18" s="25" t="str">
        <f t="shared" si="3"/>
        <v>B0</v>
      </c>
      <c r="G18" s="25" t="str">
        <f t="shared" si="4"/>
        <v>03</v>
      </c>
      <c r="H18" s="25" t="str">
        <f t="shared" si="5"/>
        <v>0050</v>
      </c>
      <c r="I18" s="25" t="str">
        <f t="shared" si="6"/>
        <v/>
      </c>
      <c r="J18" s="25" t="str">
        <f t="shared" si="7"/>
        <v>r</v>
      </c>
      <c r="K18" s="25" t="str">
        <f t="shared" si="8"/>
        <v>01</v>
      </c>
      <c r="L18" s="25" t="str">
        <f t="shared" si="9"/>
        <v>F01B0010050</v>
      </c>
      <c r="M18" s="25" t="s">
        <v>618</v>
      </c>
    </row>
    <row r="19" spans="1:13" x14ac:dyDescent="0.25">
      <c r="A19" s="25">
        <v>81</v>
      </c>
      <c r="B19" s="25" t="s">
        <v>104</v>
      </c>
      <c r="C19" s="25" t="s">
        <v>27</v>
      </c>
      <c r="D19" s="25" t="s">
        <v>105</v>
      </c>
      <c r="E19" s="25" t="str">
        <f t="shared" si="2"/>
        <v>F01</v>
      </c>
      <c r="F19" s="25" t="str">
        <f t="shared" si="3"/>
        <v>B0</v>
      </c>
      <c r="G19" s="25" t="str">
        <f t="shared" si="4"/>
        <v>03</v>
      </c>
      <c r="H19" s="25" t="str">
        <f t="shared" si="5"/>
        <v>0060</v>
      </c>
      <c r="I19" s="25" t="str">
        <f t="shared" si="6"/>
        <v/>
      </c>
      <c r="J19" s="25" t="str">
        <f t="shared" si="7"/>
        <v>r</v>
      </c>
      <c r="K19" s="25" t="str">
        <f t="shared" si="8"/>
        <v>01</v>
      </c>
      <c r="L19" s="25" t="str">
        <f t="shared" si="9"/>
        <v>F01B0010060</v>
      </c>
      <c r="M19" s="25" t="s">
        <v>619</v>
      </c>
    </row>
    <row r="20" spans="1:13" x14ac:dyDescent="0.25">
      <c r="A20" s="25">
        <v>81</v>
      </c>
      <c r="B20" s="25" t="s">
        <v>106</v>
      </c>
      <c r="C20" s="25" t="s">
        <v>27</v>
      </c>
      <c r="D20" s="25" t="s">
        <v>107</v>
      </c>
      <c r="E20" s="25" t="str">
        <f t="shared" si="2"/>
        <v>F01</v>
      </c>
      <c r="F20" s="25" t="str">
        <f t="shared" si="3"/>
        <v>B0</v>
      </c>
      <c r="G20" s="25" t="str">
        <f t="shared" si="4"/>
        <v>03</v>
      </c>
      <c r="H20" s="25" t="str">
        <f t="shared" si="5"/>
        <v>0070</v>
      </c>
      <c r="I20" s="25" t="str">
        <f t="shared" si="6"/>
        <v/>
      </c>
      <c r="J20" s="25" t="str">
        <f t="shared" si="7"/>
        <v>r</v>
      </c>
      <c r="K20" s="25" t="str">
        <f t="shared" si="8"/>
        <v>01</v>
      </c>
      <c r="L20" s="25" t="str">
        <f t="shared" si="9"/>
        <v>F01B0010070</v>
      </c>
      <c r="M20" s="25" t="s">
        <v>620</v>
      </c>
    </row>
    <row r="21" spans="1:13" x14ac:dyDescent="0.25">
      <c r="A21" s="25">
        <v>81</v>
      </c>
      <c r="B21" s="25" t="s">
        <v>108</v>
      </c>
      <c r="C21" s="25" t="s">
        <v>27</v>
      </c>
      <c r="D21" s="25" t="s">
        <v>109</v>
      </c>
      <c r="E21" s="25" t="str">
        <f t="shared" si="2"/>
        <v>F01</v>
      </c>
      <c r="F21" s="25" t="str">
        <f t="shared" si="3"/>
        <v>B0</v>
      </c>
      <c r="G21" s="25" t="str">
        <f t="shared" si="4"/>
        <v>03</v>
      </c>
      <c r="H21" s="25" t="str">
        <f t="shared" si="5"/>
        <v>0080</v>
      </c>
      <c r="I21" s="25" t="str">
        <f t="shared" si="6"/>
        <v/>
      </c>
      <c r="J21" s="25" t="str">
        <f t="shared" si="7"/>
        <v>r</v>
      </c>
      <c r="K21" s="25" t="str">
        <f t="shared" si="8"/>
        <v>01</v>
      </c>
      <c r="L21" s="25" t="str">
        <f t="shared" si="9"/>
        <v>F01B0010080</v>
      </c>
      <c r="M21" s="25" t="s">
        <v>621</v>
      </c>
    </row>
    <row r="22" spans="1:13" x14ac:dyDescent="0.25">
      <c r="A22" s="25">
        <v>81</v>
      </c>
      <c r="B22" s="25" t="s">
        <v>110</v>
      </c>
      <c r="C22" s="25" t="s">
        <v>27</v>
      </c>
      <c r="D22" s="25" t="s">
        <v>111</v>
      </c>
      <c r="E22" s="25" t="str">
        <f t="shared" si="2"/>
        <v>F01</v>
      </c>
      <c r="F22" s="25" t="str">
        <f t="shared" si="3"/>
        <v>B0</v>
      </c>
      <c r="G22" s="25" t="str">
        <f t="shared" si="4"/>
        <v>03</v>
      </c>
      <c r="H22" s="25" t="str">
        <f t="shared" si="5"/>
        <v>0090</v>
      </c>
      <c r="I22" s="25" t="str">
        <f t="shared" si="6"/>
        <v/>
      </c>
      <c r="J22" s="25" t="str">
        <f t="shared" si="7"/>
        <v>r</v>
      </c>
      <c r="K22" s="25" t="str">
        <f t="shared" si="8"/>
        <v>01</v>
      </c>
      <c r="L22" s="25" t="str">
        <f t="shared" si="9"/>
        <v>F01B0010090</v>
      </c>
      <c r="M22" s="25" t="s">
        <v>622</v>
      </c>
    </row>
    <row r="23" spans="1:13" x14ac:dyDescent="0.25">
      <c r="A23" s="25">
        <v>81</v>
      </c>
      <c r="B23" s="25" t="s">
        <v>112</v>
      </c>
      <c r="C23" s="25" t="s">
        <v>27</v>
      </c>
      <c r="D23" s="25" t="s">
        <v>113</v>
      </c>
      <c r="E23" s="25" t="str">
        <f t="shared" si="2"/>
        <v>F01</v>
      </c>
      <c r="F23" s="25" t="str">
        <f t="shared" si="3"/>
        <v>B0</v>
      </c>
      <c r="G23" s="25" t="str">
        <f t="shared" si="4"/>
        <v>03</v>
      </c>
      <c r="H23" s="25" t="str">
        <f t="shared" si="5"/>
        <v>0100</v>
      </c>
      <c r="I23" s="25" t="str">
        <f t="shared" si="6"/>
        <v/>
      </c>
      <c r="J23" s="25" t="str">
        <f t="shared" si="7"/>
        <v>r</v>
      </c>
      <c r="K23" s="25" t="str">
        <f t="shared" si="8"/>
        <v>01</v>
      </c>
      <c r="L23" s="25" t="str">
        <f t="shared" si="9"/>
        <v>F01B0010100</v>
      </c>
      <c r="M23" s="25" t="s">
        <v>623</v>
      </c>
    </row>
    <row r="24" spans="1:13" x14ac:dyDescent="0.25">
      <c r="A24" s="25">
        <v>81</v>
      </c>
      <c r="B24" s="25" t="s">
        <v>114</v>
      </c>
      <c r="C24" s="25" t="s">
        <v>27</v>
      </c>
      <c r="D24" s="25" t="s">
        <v>115</v>
      </c>
      <c r="E24" s="25" t="str">
        <f t="shared" si="2"/>
        <v>F01</v>
      </c>
      <c r="F24" s="25" t="str">
        <f t="shared" si="3"/>
        <v>B0</v>
      </c>
      <c r="G24" s="25" t="str">
        <f t="shared" si="4"/>
        <v>03</v>
      </c>
      <c r="H24" s="25" t="str">
        <f t="shared" si="5"/>
        <v>0120</v>
      </c>
      <c r="I24" s="25" t="str">
        <f t="shared" si="6"/>
        <v/>
      </c>
      <c r="J24" s="25" t="str">
        <f t="shared" si="7"/>
        <v>r</v>
      </c>
      <c r="K24" s="25" t="str">
        <f t="shared" si="8"/>
        <v>01</v>
      </c>
      <c r="L24" s="25" t="str">
        <f t="shared" si="9"/>
        <v>F01B0010120</v>
      </c>
      <c r="M24" s="25" t="s">
        <v>624</v>
      </c>
    </row>
    <row r="25" spans="1:13" x14ac:dyDescent="0.25">
      <c r="A25" s="25">
        <v>81</v>
      </c>
      <c r="B25" s="25" t="s">
        <v>116</v>
      </c>
      <c r="C25" s="25" t="s">
        <v>27</v>
      </c>
      <c r="D25" s="25" t="s">
        <v>117</v>
      </c>
      <c r="E25" s="25" t="str">
        <f t="shared" si="2"/>
        <v>F01</v>
      </c>
      <c r="F25" s="25" t="str">
        <f t="shared" si="3"/>
        <v>B0</v>
      </c>
      <c r="G25" s="25" t="str">
        <f t="shared" si="4"/>
        <v>03</v>
      </c>
      <c r="H25" s="25" t="str">
        <f t="shared" si="5"/>
        <v>0130</v>
      </c>
      <c r="I25" s="25" t="str">
        <f t="shared" si="6"/>
        <v/>
      </c>
      <c r="J25" s="25" t="str">
        <f t="shared" si="7"/>
        <v>r</v>
      </c>
      <c r="K25" s="25" t="str">
        <f t="shared" si="8"/>
        <v>01</v>
      </c>
      <c r="L25" s="25" t="str">
        <f t="shared" si="9"/>
        <v>F01B0010130</v>
      </c>
      <c r="M25" s="25" t="s">
        <v>625</v>
      </c>
    </row>
    <row r="26" spans="1:13" x14ac:dyDescent="0.25">
      <c r="A26" s="25">
        <v>81</v>
      </c>
      <c r="B26" s="25" t="s">
        <v>118</v>
      </c>
      <c r="C26" s="25" t="s">
        <v>27</v>
      </c>
      <c r="D26" s="25" t="s">
        <v>119</v>
      </c>
      <c r="E26" s="25" t="str">
        <f t="shared" si="2"/>
        <v>F01</v>
      </c>
      <c r="F26" s="25" t="str">
        <f t="shared" si="3"/>
        <v>B0</v>
      </c>
      <c r="G26" s="25" t="str">
        <f t="shared" si="4"/>
        <v>03</v>
      </c>
      <c r="H26" s="25" t="str">
        <f t="shared" si="5"/>
        <v>0150</v>
      </c>
      <c r="I26" s="25" t="str">
        <f t="shared" si="6"/>
        <v/>
      </c>
      <c r="J26" s="25" t="str">
        <f t="shared" si="7"/>
        <v>r</v>
      </c>
      <c r="K26" s="25" t="str">
        <f t="shared" si="8"/>
        <v>01</v>
      </c>
      <c r="L26" s="25" t="str">
        <f t="shared" si="9"/>
        <v>F01B0010150</v>
      </c>
      <c r="M26" s="25" t="s">
        <v>626</v>
      </c>
    </row>
    <row r="27" spans="1:13" x14ac:dyDescent="0.25">
      <c r="A27" s="25">
        <v>81</v>
      </c>
      <c r="B27" s="25" t="s">
        <v>120</v>
      </c>
      <c r="C27" s="25" t="s">
        <v>27</v>
      </c>
      <c r="D27" s="25" t="s">
        <v>121</v>
      </c>
      <c r="E27" s="25" t="str">
        <f t="shared" si="2"/>
        <v>F01</v>
      </c>
      <c r="F27" s="25" t="str">
        <f t="shared" si="3"/>
        <v>B0</v>
      </c>
      <c r="G27" s="25" t="str">
        <f t="shared" si="4"/>
        <v>03</v>
      </c>
      <c r="H27" s="25" t="str">
        <f t="shared" si="5"/>
        <v>0200</v>
      </c>
      <c r="I27" s="25" t="str">
        <f t="shared" si="6"/>
        <v/>
      </c>
      <c r="J27" s="25" t="str">
        <f t="shared" si="7"/>
        <v>r</v>
      </c>
      <c r="K27" s="25" t="str">
        <f t="shared" si="8"/>
        <v>01</v>
      </c>
      <c r="L27" s="25" t="str">
        <f t="shared" si="9"/>
        <v>F01B0010200</v>
      </c>
      <c r="M27" s="25" t="s">
        <v>627</v>
      </c>
    </row>
    <row r="28" spans="1:13" x14ac:dyDescent="0.25">
      <c r="A28" s="25">
        <v>81</v>
      </c>
      <c r="B28" s="25" t="s">
        <v>122</v>
      </c>
      <c r="C28" s="25" t="s">
        <v>27</v>
      </c>
      <c r="D28" s="25" t="s">
        <v>123</v>
      </c>
      <c r="E28" s="25" t="str">
        <f t="shared" si="2"/>
        <v>F01</v>
      </c>
      <c r="F28" s="25" t="str">
        <f t="shared" si="3"/>
        <v>B0</v>
      </c>
      <c r="G28" s="25" t="str">
        <f t="shared" si="4"/>
        <v>03</v>
      </c>
      <c r="H28" s="25" t="str">
        <f t="shared" si="5"/>
        <v>0500</v>
      </c>
      <c r="I28" s="25" t="str">
        <f t="shared" si="6"/>
        <v/>
      </c>
      <c r="J28" s="25" t="str">
        <f t="shared" si="7"/>
        <v>r</v>
      </c>
      <c r="K28" s="25" t="str">
        <f t="shared" si="8"/>
        <v>01</v>
      </c>
      <c r="L28" s="25" t="str">
        <f t="shared" si="9"/>
        <v>F01B0010500</v>
      </c>
      <c r="M28" s="25" t="s">
        <v>628</v>
      </c>
    </row>
    <row r="29" spans="1:13" x14ac:dyDescent="0.25">
      <c r="A29" s="25">
        <v>81</v>
      </c>
      <c r="B29" s="25" t="s">
        <v>124</v>
      </c>
      <c r="C29" s="25" t="s">
        <v>27</v>
      </c>
      <c r="D29" s="25" t="s">
        <v>125</v>
      </c>
      <c r="E29" s="25" t="str">
        <f t="shared" si="2"/>
        <v>F01</v>
      </c>
      <c r="F29" s="25" t="str">
        <f t="shared" si="3"/>
        <v>DN</v>
      </c>
      <c r="G29" s="25" t="str">
        <f t="shared" si="4"/>
        <v>01</v>
      </c>
      <c r="H29" s="25" t="str">
        <f t="shared" si="5"/>
        <v>0025</v>
      </c>
      <c r="I29" s="25" t="str">
        <f t="shared" si="6"/>
        <v/>
      </c>
      <c r="J29" s="25" t="str">
        <f t="shared" si="7"/>
        <v/>
      </c>
      <c r="K29" s="25" t="str">
        <f t="shared" si="8"/>
        <v>01</v>
      </c>
      <c r="L29" s="25" t="str">
        <f t="shared" si="9"/>
        <v>F01DN010025</v>
      </c>
      <c r="M29" s="25" t="s">
        <v>629</v>
      </c>
    </row>
    <row r="30" spans="1:13" x14ac:dyDescent="0.25">
      <c r="A30" s="25">
        <v>81</v>
      </c>
      <c r="B30" s="25" t="s">
        <v>126</v>
      </c>
      <c r="C30" s="25" t="s">
        <v>27</v>
      </c>
      <c r="D30" s="25" t="s">
        <v>127</v>
      </c>
      <c r="E30" s="25" t="str">
        <f t="shared" si="2"/>
        <v>F01</v>
      </c>
      <c r="F30" s="25" t="str">
        <f t="shared" si="3"/>
        <v>DN</v>
      </c>
      <c r="G30" s="25" t="str">
        <f t="shared" si="4"/>
        <v>01</v>
      </c>
      <c r="H30" s="25" t="str">
        <f t="shared" si="5"/>
        <v>0250</v>
      </c>
      <c r="I30" s="25" t="str">
        <f t="shared" si="6"/>
        <v/>
      </c>
      <c r="J30" s="25" t="str">
        <f t="shared" si="7"/>
        <v/>
      </c>
      <c r="K30" s="25" t="str">
        <f t="shared" si="8"/>
        <v>01</v>
      </c>
      <c r="L30" s="25" t="str">
        <f t="shared" si="9"/>
        <v>F01DN010250</v>
      </c>
      <c r="M30" s="25" t="s">
        <v>630</v>
      </c>
    </row>
    <row r="31" spans="1:13" x14ac:dyDescent="0.25">
      <c r="A31" s="25">
        <v>81</v>
      </c>
      <c r="B31" s="25" t="s">
        <v>128</v>
      </c>
      <c r="C31" s="25" t="s">
        <v>27</v>
      </c>
      <c r="D31" s="25" t="s">
        <v>129</v>
      </c>
      <c r="E31" s="25" t="str">
        <f t="shared" si="2"/>
        <v>F01</v>
      </c>
      <c r="F31" s="25" t="str">
        <f t="shared" si="3"/>
        <v>DN</v>
      </c>
      <c r="G31" s="25" t="str">
        <f t="shared" si="4"/>
        <v>01</v>
      </c>
      <c r="H31" s="25" t="str">
        <f t="shared" si="5"/>
        <v>0300</v>
      </c>
      <c r="I31" s="25" t="str">
        <f t="shared" si="6"/>
        <v/>
      </c>
      <c r="J31" s="25" t="str">
        <f t="shared" si="7"/>
        <v/>
      </c>
      <c r="K31" s="25" t="str">
        <f t="shared" si="8"/>
        <v>01</v>
      </c>
      <c r="L31" s="25" t="str">
        <f t="shared" si="9"/>
        <v>F01DN010300</v>
      </c>
      <c r="M31" s="25" t="s">
        <v>631</v>
      </c>
    </row>
    <row r="32" spans="1:13" x14ac:dyDescent="0.25">
      <c r="A32" s="25">
        <v>81</v>
      </c>
      <c r="B32" s="25" t="s">
        <v>130</v>
      </c>
      <c r="C32" s="25" t="s">
        <v>27</v>
      </c>
      <c r="D32" s="25" t="s">
        <v>131</v>
      </c>
      <c r="E32" s="25" t="str">
        <f t="shared" si="2"/>
        <v>F01</v>
      </c>
      <c r="F32" s="25" t="str">
        <f t="shared" si="3"/>
        <v>DN</v>
      </c>
      <c r="G32" s="25" t="str">
        <f t="shared" si="4"/>
        <v>02</v>
      </c>
      <c r="H32" s="25" t="str">
        <f t="shared" si="5"/>
        <v>0030</v>
      </c>
      <c r="I32" s="25" t="str">
        <f t="shared" si="6"/>
        <v/>
      </c>
      <c r="J32" s="25" t="str">
        <f t="shared" si="7"/>
        <v/>
      </c>
      <c r="K32" s="25" t="str">
        <f t="shared" si="8"/>
        <v>02</v>
      </c>
      <c r="L32" s="25" t="str">
        <f t="shared" si="9"/>
        <v>F01DN020030</v>
      </c>
      <c r="M32" s="25" t="s">
        <v>632</v>
      </c>
    </row>
    <row r="33" spans="1:13" x14ac:dyDescent="0.25">
      <c r="A33" s="25">
        <v>81</v>
      </c>
      <c r="B33" s="25" t="s">
        <v>132</v>
      </c>
      <c r="C33" s="25" t="s">
        <v>27</v>
      </c>
      <c r="D33" s="25" t="s">
        <v>133</v>
      </c>
      <c r="E33" s="25" t="str">
        <f t="shared" si="2"/>
        <v>F01</v>
      </c>
      <c r="F33" s="25" t="str">
        <f t="shared" si="3"/>
        <v>DN</v>
      </c>
      <c r="G33" s="25" t="str">
        <f t="shared" si="4"/>
        <v>02</v>
      </c>
      <c r="H33" s="25" t="str">
        <f t="shared" si="5"/>
        <v>0150</v>
      </c>
      <c r="I33" s="25" t="str">
        <f t="shared" si="6"/>
        <v/>
      </c>
      <c r="J33" s="25" t="str">
        <f t="shared" si="7"/>
        <v/>
      </c>
      <c r="K33" s="25" t="str">
        <f t="shared" si="8"/>
        <v>02</v>
      </c>
      <c r="L33" s="25" t="str">
        <f t="shared" si="9"/>
        <v>F01DN020150</v>
      </c>
      <c r="M33" s="25" t="s">
        <v>633</v>
      </c>
    </row>
    <row r="34" spans="1:13" x14ac:dyDescent="0.25">
      <c r="A34" s="25">
        <v>81</v>
      </c>
      <c r="B34" s="25" t="s">
        <v>134</v>
      </c>
      <c r="C34" s="25" t="s">
        <v>27</v>
      </c>
      <c r="D34" s="25" t="s">
        <v>135</v>
      </c>
      <c r="E34" s="25" t="str">
        <f t="shared" si="2"/>
        <v>F01</v>
      </c>
      <c r="F34" s="25" t="str">
        <f t="shared" si="3"/>
        <v>DN</v>
      </c>
      <c r="G34" s="25" t="str">
        <f t="shared" si="4"/>
        <v>02</v>
      </c>
      <c r="H34" s="25" t="str">
        <f t="shared" si="5"/>
        <v>0200</v>
      </c>
      <c r="I34" s="25" t="str">
        <f t="shared" si="6"/>
        <v/>
      </c>
      <c r="J34" s="25" t="str">
        <f t="shared" si="7"/>
        <v/>
      </c>
      <c r="K34" s="25" t="str">
        <f t="shared" si="8"/>
        <v>02</v>
      </c>
      <c r="L34" s="25" t="str">
        <f t="shared" si="9"/>
        <v>F01DN020200</v>
      </c>
      <c r="M34" s="25" t="s">
        <v>634</v>
      </c>
    </row>
    <row r="35" spans="1:13" x14ac:dyDescent="0.25">
      <c r="A35" s="25">
        <v>81</v>
      </c>
      <c r="B35" s="25" t="s">
        <v>136</v>
      </c>
      <c r="C35" s="25" t="s">
        <v>27</v>
      </c>
      <c r="D35" s="25" t="s">
        <v>137</v>
      </c>
      <c r="E35" s="25" t="str">
        <f t="shared" si="2"/>
        <v>F01</v>
      </c>
      <c r="F35" s="25" t="str">
        <f t="shared" si="3"/>
        <v>DN</v>
      </c>
      <c r="G35" s="25" t="str">
        <f t="shared" si="4"/>
        <v>02</v>
      </c>
      <c r="H35" s="25" t="str">
        <f t="shared" si="5"/>
        <v>0250</v>
      </c>
      <c r="I35" s="25" t="str">
        <f t="shared" si="6"/>
        <v/>
      </c>
      <c r="J35" s="25" t="str">
        <f t="shared" si="7"/>
        <v/>
      </c>
      <c r="K35" s="25" t="str">
        <f t="shared" si="8"/>
        <v>02</v>
      </c>
      <c r="L35" s="25" t="str">
        <f t="shared" si="9"/>
        <v>F01DN020250</v>
      </c>
      <c r="M35" s="25" t="s">
        <v>635</v>
      </c>
    </row>
    <row r="36" spans="1:13" x14ac:dyDescent="0.25">
      <c r="A36" s="25">
        <v>81</v>
      </c>
      <c r="B36" s="25" t="s">
        <v>138</v>
      </c>
      <c r="C36" s="25" t="s">
        <v>27</v>
      </c>
      <c r="D36" s="25" t="s">
        <v>139</v>
      </c>
      <c r="E36" s="25" t="str">
        <f t="shared" si="2"/>
        <v>F01</v>
      </c>
      <c r="F36" s="25" t="str">
        <f t="shared" si="3"/>
        <v>DN</v>
      </c>
      <c r="G36" s="25" t="str">
        <f t="shared" si="4"/>
        <v>02</v>
      </c>
      <c r="H36" s="25" t="str">
        <f t="shared" si="5"/>
        <v>0350</v>
      </c>
      <c r="I36" s="25" t="str">
        <f t="shared" si="6"/>
        <v/>
      </c>
      <c r="J36" s="25" t="str">
        <f t="shared" si="7"/>
        <v/>
      </c>
      <c r="K36" s="25" t="str">
        <f t="shared" si="8"/>
        <v>02</v>
      </c>
      <c r="L36" s="25" t="str">
        <f t="shared" si="9"/>
        <v>F01DN020350</v>
      </c>
      <c r="M36" s="25" t="s">
        <v>636</v>
      </c>
    </row>
    <row r="37" spans="1:13" x14ac:dyDescent="0.25">
      <c r="A37" s="25">
        <v>81</v>
      </c>
      <c r="B37" s="25" t="s">
        <v>140</v>
      </c>
      <c r="C37" s="25" t="s">
        <v>27</v>
      </c>
      <c r="D37" s="25" t="s">
        <v>141</v>
      </c>
      <c r="E37" s="25" t="str">
        <f t="shared" si="2"/>
        <v>F01</v>
      </c>
      <c r="F37" s="25" t="str">
        <f t="shared" si="3"/>
        <v>DN</v>
      </c>
      <c r="G37" s="25" t="str">
        <f t="shared" si="4"/>
        <v>02</v>
      </c>
      <c r="H37" s="25" t="str">
        <f t="shared" si="5"/>
        <v>0500</v>
      </c>
      <c r="I37" s="25" t="str">
        <f t="shared" si="6"/>
        <v/>
      </c>
      <c r="J37" s="25" t="str">
        <f t="shared" si="7"/>
        <v/>
      </c>
      <c r="K37" s="25" t="str">
        <f t="shared" si="8"/>
        <v>02</v>
      </c>
      <c r="L37" s="25" t="str">
        <f t="shared" si="9"/>
        <v>F01DN020500</v>
      </c>
      <c r="M37" s="25" t="s">
        <v>637</v>
      </c>
    </row>
    <row r="38" spans="1:13" x14ac:dyDescent="0.25">
      <c r="A38" s="25">
        <v>81</v>
      </c>
      <c r="B38" s="25" t="s">
        <v>142</v>
      </c>
      <c r="C38" s="25" t="s">
        <v>27</v>
      </c>
      <c r="D38" s="25" t="s">
        <v>143</v>
      </c>
      <c r="E38" s="25" t="str">
        <f t="shared" si="2"/>
        <v>F01</v>
      </c>
      <c r="F38" s="25" t="str">
        <f t="shared" si="3"/>
        <v>DN</v>
      </c>
      <c r="G38" s="25" t="str">
        <f t="shared" si="4"/>
        <v>02</v>
      </c>
      <c r="H38" s="25" t="str">
        <f t="shared" si="5"/>
        <v>1000</v>
      </c>
      <c r="I38" s="25" t="str">
        <f t="shared" si="6"/>
        <v/>
      </c>
      <c r="J38" s="25" t="str">
        <f t="shared" si="7"/>
        <v/>
      </c>
      <c r="K38" s="25" t="str">
        <f t="shared" si="8"/>
        <v>02</v>
      </c>
      <c r="L38" s="25" t="str">
        <f t="shared" si="9"/>
        <v>F01DN021000</v>
      </c>
      <c r="M38" s="25" t="s">
        <v>638</v>
      </c>
    </row>
    <row r="39" spans="1:13" x14ac:dyDescent="0.25">
      <c r="A39" s="25">
        <v>81</v>
      </c>
      <c r="B39" s="25" t="s">
        <v>144</v>
      </c>
      <c r="C39" s="25" t="s">
        <v>27</v>
      </c>
      <c r="D39" s="25" t="s">
        <v>145</v>
      </c>
      <c r="E39" s="25" t="str">
        <f t="shared" si="2"/>
        <v>F01</v>
      </c>
      <c r="F39" s="25" t="str">
        <f t="shared" si="3"/>
        <v>DN</v>
      </c>
      <c r="G39" s="25" t="str">
        <f t="shared" si="4"/>
        <v>03</v>
      </c>
      <c r="H39" s="25" t="str">
        <f t="shared" si="5"/>
        <v>0050</v>
      </c>
      <c r="I39" s="25" t="str">
        <f t="shared" si="6"/>
        <v/>
      </c>
      <c r="J39" s="25" t="str">
        <f t="shared" si="7"/>
        <v>r</v>
      </c>
      <c r="K39" s="25" t="str">
        <f t="shared" si="8"/>
        <v>01</v>
      </c>
      <c r="L39" s="25" t="str">
        <f t="shared" si="9"/>
        <v>F01DN010050</v>
      </c>
      <c r="M39" s="25" t="s">
        <v>639</v>
      </c>
    </row>
    <row r="40" spans="1:13" x14ac:dyDescent="0.25">
      <c r="A40" s="25">
        <v>81</v>
      </c>
      <c r="B40" s="25" t="s">
        <v>146</v>
      </c>
      <c r="C40" s="25" t="s">
        <v>27</v>
      </c>
      <c r="D40" s="25" t="s">
        <v>147</v>
      </c>
      <c r="E40" s="25" t="str">
        <f t="shared" si="2"/>
        <v>F01</v>
      </c>
      <c r="F40" s="25" t="str">
        <f t="shared" si="3"/>
        <v>DN</v>
      </c>
      <c r="G40" s="25" t="str">
        <f t="shared" si="4"/>
        <v>03</v>
      </c>
      <c r="H40" s="25" t="str">
        <f t="shared" si="5"/>
        <v>0100</v>
      </c>
      <c r="I40" s="25" t="str">
        <f t="shared" si="6"/>
        <v/>
      </c>
      <c r="J40" s="25" t="str">
        <f t="shared" si="7"/>
        <v>r</v>
      </c>
      <c r="K40" s="25" t="str">
        <f t="shared" si="8"/>
        <v>01</v>
      </c>
      <c r="L40" s="25" t="str">
        <f t="shared" si="9"/>
        <v>F01DN010100</v>
      </c>
      <c r="M40" s="25" t="s">
        <v>640</v>
      </c>
    </row>
    <row r="41" spans="1:13" x14ac:dyDescent="0.25">
      <c r="A41" s="25">
        <v>81</v>
      </c>
      <c r="B41" s="25" t="s">
        <v>148</v>
      </c>
      <c r="C41" s="25" t="s">
        <v>27</v>
      </c>
      <c r="D41" s="25" t="s">
        <v>149</v>
      </c>
      <c r="E41" s="25" t="str">
        <f t="shared" si="2"/>
        <v>F01</v>
      </c>
      <c r="F41" s="25" t="str">
        <f t="shared" si="3"/>
        <v>DN</v>
      </c>
      <c r="G41" s="25" t="str">
        <f t="shared" si="4"/>
        <v>03</v>
      </c>
      <c r="H41" s="25" t="str">
        <f t="shared" si="5"/>
        <v>0120</v>
      </c>
      <c r="I41" s="25" t="str">
        <f t="shared" si="6"/>
        <v/>
      </c>
      <c r="J41" s="25" t="str">
        <f t="shared" si="7"/>
        <v>r</v>
      </c>
      <c r="K41" s="25" t="str">
        <f t="shared" si="8"/>
        <v>01</v>
      </c>
      <c r="L41" s="25" t="str">
        <f t="shared" si="9"/>
        <v>F01DN010120</v>
      </c>
      <c r="M41" s="25" t="s">
        <v>641</v>
      </c>
    </row>
    <row r="42" spans="1:13" x14ac:dyDescent="0.25">
      <c r="A42" s="25">
        <v>81</v>
      </c>
      <c r="B42" s="25" t="s">
        <v>150</v>
      </c>
      <c r="C42" s="25" t="s">
        <v>27</v>
      </c>
      <c r="D42" s="25" t="s">
        <v>151</v>
      </c>
      <c r="E42" s="25" t="str">
        <f t="shared" si="2"/>
        <v>F01</v>
      </c>
      <c r="F42" s="25" t="str">
        <f t="shared" si="3"/>
        <v>DN</v>
      </c>
      <c r="G42" s="25" t="str">
        <f t="shared" si="4"/>
        <v>03</v>
      </c>
      <c r="H42" s="25" t="str">
        <f t="shared" si="5"/>
        <v>0150</v>
      </c>
      <c r="I42" s="25" t="str">
        <f t="shared" si="6"/>
        <v/>
      </c>
      <c r="J42" s="25" t="str">
        <f t="shared" si="7"/>
        <v>r</v>
      </c>
      <c r="K42" s="25" t="str">
        <f t="shared" si="8"/>
        <v>01</v>
      </c>
      <c r="L42" s="25" t="str">
        <f t="shared" si="9"/>
        <v>F01DN010150</v>
      </c>
      <c r="M42" s="25" t="s">
        <v>642</v>
      </c>
    </row>
    <row r="43" spans="1:13" x14ac:dyDescent="0.25">
      <c r="A43" s="25">
        <v>81</v>
      </c>
      <c r="B43" s="25" t="s">
        <v>152</v>
      </c>
      <c r="C43" s="25" t="s">
        <v>27</v>
      </c>
      <c r="D43" s="25" t="s">
        <v>153</v>
      </c>
      <c r="E43" s="25" t="str">
        <f t="shared" si="2"/>
        <v>F01</v>
      </c>
      <c r="F43" s="25" t="str">
        <f t="shared" si="3"/>
        <v>DN</v>
      </c>
      <c r="G43" s="25" t="str">
        <f t="shared" si="4"/>
        <v>03</v>
      </c>
      <c r="H43" s="25" t="str">
        <f t="shared" si="5"/>
        <v>0200</v>
      </c>
      <c r="I43" s="25" t="str">
        <f t="shared" si="6"/>
        <v/>
      </c>
      <c r="J43" s="25" t="str">
        <f t="shared" si="7"/>
        <v>r</v>
      </c>
      <c r="K43" s="25" t="str">
        <f t="shared" si="8"/>
        <v>01</v>
      </c>
      <c r="L43" s="25" t="str">
        <f t="shared" si="9"/>
        <v>F01DN010200</v>
      </c>
      <c r="M43" s="25" t="s">
        <v>643</v>
      </c>
    </row>
    <row r="44" spans="1:13" x14ac:dyDescent="0.25">
      <c r="A44" s="25">
        <v>81</v>
      </c>
      <c r="B44" s="25" t="s">
        <v>154</v>
      </c>
      <c r="C44" s="25" t="s">
        <v>27</v>
      </c>
      <c r="D44" s="25" t="s">
        <v>155</v>
      </c>
      <c r="E44" s="25" t="str">
        <f t="shared" si="2"/>
        <v>F01</v>
      </c>
      <c r="F44" s="25" t="str">
        <f t="shared" si="3"/>
        <v>DN</v>
      </c>
      <c r="G44" s="25" t="str">
        <f t="shared" si="4"/>
        <v>03</v>
      </c>
      <c r="H44" s="25" t="str">
        <f t="shared" si="5"/>
        <v>0250</v>
      </c>
      <c r="I44" s="25" t="str">
        <f t="shared" si="6"/>
        <v/>
      </c>
      <c r="J44" s="25" t="str">
        <f t="shared" si="7"/>
        <v>r</v>
      </c>
      <c r="K44" s="25" t="str">
        <f t="shared" si="8"/>
        <v>01</v>
      </c>
      <c r="L44" s="25" t="str">
        <f t="shared" si="9"/>
        <v>F01DN010250</v>
      </c>
      <c r="M44" s="25" t="s">
        <v>644</v>
      </c>
    </row>
    <row r="45" spans="1:13" x14ac:dyDescent="0.25">
      <c r="A45" s="25">
        <v>81</v>
      </c>
      <c r="B45" s="25" t="s">
        <v>156</v>
      </c>
      <c r="C45" s="25" t="s">
        <v>27</v>
      </c>
      <c r="D45" s="25" t="s">
        <v>157</v>
      </c>
      <c r="E45" s="25" t="str">
        <f t="shared" si="2"/>
        <v>F01</v>
      </c>
      <c r="F45" s="25" t="str">
        <f t="shared" si="3"/>
        <v>DN</v>
      </c>
      <c r="G45" s="25" t="str">
        <f t="shared" si="4"/>
        <v>03</v>
      </c>
      <c r="H45" s="25" t="str">
        <f t="shared" si="5"/>
        <v>0300</v>
      </c>
      <c r="I45" s="25" t="str">
        <f t="shared" si="6"/>
        <v/>
      </c>
      <c r="J45" s="25" t="str">
        <f t="shared" si="7"/>
        <v>r</v>
      </c>
      <c r="K45" s="25" t="str">
        <f t="shared" si="8"/>
        <v>01</v>
      </c>
      <c r="L45" s="25" t="str">
        <f t="shared" si="9"/>
        <v>F01DN010300</v>
      </c>
      <c r="M45" s="25" t="s">
        <v>645</v>
      </c>
    </row>
    <row r="46" spans="1:13" x14ac:dyDescent="0.25">
      <c r="A46" s="25">
        <v>81</v>
      </c>
      <c r="B46" s="25" t="s">
        <v>158</v>
      </c>
      <c r="C46" s="25" t="s">
        <v>27</v>
      </c>
      <c r="D46" s="25" t="s">
        <v>159</v>
      </c>
      <c r="E46" s="25" t="str">
        <f t="shared" si="2"/>
        <v>F01</v>
      </c>
      <c r="F46" s="25" t="str">
        <f t="shared" si="3"/>
        <v>DN</v>
      </c>
      <c r="G46" s="25" t="str">
        <f t="shared" si="4"/>
        <v>03</v>
      </c>
      <c r="H46" s="25" t="str">
        <f t="shared" si="5"/>
        <v>0450</v>
      </c>
      <c r="I46" s="25" t="str">
        <f t="shared" si="6"/>
        <v/>
      </c>
      <c r="J46" s="25" t="str">
        <f t="shared" si="7"/>
        <v>r</v>
      </c>
      <c r="K46" s="25" t="str">
        <f t="shared" si="8"/>
        <v>01</v>
      </c>
      <c r="L46" s="25" t="str">
        <f t="shared" si="9"/>
        <v>F01DN010450</v>
      </c>
      <c r="M46" s="25" t="s">
        <v>646</v>
      </c>
    </row>
    <row r="47" spans="1:13" x14ac:dyDescent="0.25">
      <c r="A47" s="25">
        <v>81</v>
      </c>
      <c r="B47" s="25" t="s">
        <v>160</v>
      </c>
      <c r="C47" s="25" t="s">
        <v>27</v>
      </c>
      <c r="D47" s="25" t="s">
        <v>161</v>
      </c>
      <c r="E47" s="25" t="str">
        <f t="shared" si="2"/>
        <v>F01</v>
      </c>
      <c r="F47" s="25" t="str">
        <f t="shared" si="3"/>
        <v>DN</v>
      </c>
      <c r="G47" s="25" t="str">
        <f t="shared" si="4"/>
        <v>03</v>
      </c>
      <c r="H47" s="25" t="str">
        <f t="shared" si="5"/>
        <v>0500</v>
      </c>
      <c r="I47" s="25" t="str">
        <f t="shared" si="6"/>
        <v/>
      </c>
      <c r="J47" s="25" t="str">
        <f t="shared" si="7"/>
        <v>r</v>
      </c>
      <c r="K47" s="25" t="str">
        <f t="shared" si="8"/>
        <v>01</v>
      </c>
      <c r="L47" s="25" t="str">
        <f t="shared" si="9"/>
        <v>F01DN010500</v>
      </c>
      <c r="M47" s="25" t="s">
        <v>647</v>
      </c>
    </row>
    <row r="48" spans="1:13" x14ac:dyDescent="0.25">
      <c r="A48" s="25">
        <v>81</v>
      </c>
      <c r="B48" s="25" t="s">
        <v>162</v>
      </c>
      <c r="C48" s="25" t="s">
        <v>27</v>
      </c>
      <c r="D48" s="25" t="s">
        <v>163</v>
      </c>
      <c r="E48" s="25" t="str">
        <f t="shared" si="2"/>
        <v>F01</v>
      </c>
      <c r="F48" s="25" t="str">
        <f t="shared" si="3"/>
        <v>DN</v>
      </c>
      <c r="G48" s="25" t="str">
        <f t="shared" si="4"/>
        <v>03</v>
      </c>
      <c r="H48" s="25" t="str">
        <f t="shared" si="5"/>
        <v>1000</v>
      </c>
      <c r="I48" s="25" t="str">
        <f t="shared" si="6"/>
        <v/>
      </c>
      <c r="J48" s="25" t="str">
        <f t="shared" si="7"/>
        <v>r</v>
      </c>
      <c r="K48" s="25" t="str">
        <f t="shared" si="8"/>
        <v>01</v>
      </c>
      <c r="L48" s="25" t="str">
        <f t="shared" si="9"/>
        <v>F01DN011000</v>
      </c>
      <c r="M48" s="25" t="s">
        <v>648</v>
      </c>
    </row>
    <row r="49" spans="1:13" x14ac:dyDescent="0.25">
      <c r="A49" s="25">
        <v>81</v>
      </c>
      <c r="B49" s="25" t="s">
        <v>164</v>
      </c>
      <c r="C49" s="25" t="s">
        <v>27</v>
      </c>
      <c r="D49" s="25" t="s">
        <v>165</v>
      </c>
      <c r="E49" s="25" t="str">
        <f t="shared" si="2"/>
        <v>F01</v>
      </c>
      <c r="F49" s="25" t="str">
        <f t="shared" si="3"/>
        <v>DN</v>
      </c>
      <c r="G49" s="25" t="str">
        <f t="shared" si="4"/>
        <v>04</v>
      </c>
      <c r="H49" s="25" t="str">
        <f t="shared" si="5"/>
        <v>0500</v>
      </c>
      <c r="I49" s="25" t="str">
        <f t="shared" si="6"/>
        <v/>
      </c>
      <c r="J49" s="25" t="str">
        <f t="shared" si="7"/>
        <v/>
      </c>
      <c r="K49" s="25" t="str">
        <f t="shared" si="8"/>
        <v>04</v>
      </c>
      <c r="L49" s="25" t="str">
        <f t="shared" si="9"/>
        <v>F01DN040500</v>
      </c>
      <c r="M49" s="25" t="s">
        <v>649</v>
      </c>
    </row>
    <row r="50" spans="1:13" x14ac:dyDescent="0.25">
      <c r="A50" s="25">
        <v>81</v>
      </c>
      <c r="B50" s="25" t="s">
        <v>166</v>
      </c>
      <c r="C50" s="25" t="s">
        <v>27</v>
      </c>
      <c r="D50" s="25" t="s">
        <v>167</v>
      </c>
      <c r="E50" s="25" t="str">
        <f t="shared" si="2"/>
        <v>F01</v>
      </c>
      <c r="F50" s="25" t="str">
        <f t="shared" si="3"/>
        <v>DV</v>
      </c>
      <c r="G50" s="25" t="str">
        <f t="shared" si="4"/>
        <v>01</v>
      </c>
      <c r="H50" s="25" t="str">
        <f t="shared" si="5"/>
        <v>0150</v>
      </c>
      <c r="I50" s="25" t="str">
        <f t="shared" si="6"/>
        <v>x</v>
      </c>
      <c r="J50" s="25" t="str">
        <f t="shared" si="7"/>
        <v/>
      </c>
      <c r="K50" s="25" t="str">
        <f t="shared" si="8"/>
        <v>01</v>
      </c>
      <c r="L50" s="25" t="str">
        <f t="shared" si="9"/>
        <v>DeleteRow</v>
      </c>
      <c r="M50" s="25" t="s">
        <v>650</v>
      </c>
    </row>
    <row r="51" spans="1:13" x14ac:dyDescent="0.25">
      <c r="A51" s="25">
        <v>81</v>
      </c>
      <c r="B51" s="25" t="s">
        <v>168</v>
      </c>
      <c r="C51" s="25" t="s">
        <v>27</v>
      </c>
      <c r="D51" s="25" t="s">
        <v>169</v>
      </c>
      <c r="E51" s="25" t="str">
        <f t="shared" si="2"/>
        <v>F01</v>
      </c>
      <c r="F51" s="25" t="str">
        <f t="shared" si="3"/>
        <v>DV</v>
      </c>
      <c r="G51" s="25" t="str">
        <f t="shared" si="4"/>
        <v>02</v>
      </c>
      <c r="H51" s="25" t="str">
        <f t="shared" si="5"/>
        <v>1000</v>
      </c>
      <c r="I51" s="25" t="str">
        <f t="shared" si="6"/>
        <v>x</v>
      </c>
      <c r="J51" s="25" t="str">
        <f t="shared" si="7"/>
        <v/>
      </c>
      <c r="K51" s="25" t="str">
        <f t="shared" si="8"/>
        <v>02</v>
      </c>
      <c r="L51" s="25" t="str">
        <f t="shared" si="9"/>
        <v>DeleteRow</v>
      </c>
      <c r="M51" s="25" t="s">
        <v>651</v>
      </c>
    </row>
    <row r="52" spans="1:13" x14ac:dyDescent="0.25">
      <c r="A52" s="25">
        <v>81</v>
      </c>
      <c r="B52" s="25" t="s">
        <v>170</v>
      </c>
      <c r="C52" s="25" t="s">
        <v>27</v>
      </c>
      <c r="D52" s="25" t="s">
        <v>171</v>
      </c>
      <c r="E52" s="25" t="str">
        <f t="shared" si="2"/>
        <v>F01</v>
      </c>
      <c r="F52" s="25" t="str">
        <f t="shared" si="3"/>
        <v>DV</v>
      </c>
      <c r="G52" s="25" t="str">
        <f t="shared" si="4"/>
        <v>03</v>
      </c>
      <c r="H52" s="25" t="str">
        <f t="shared" si="5"/>
        <v>0150</v>
      </c>
      <c r="I52" s="25" t="str">
        <f t="shared" si="6"/>
        <v>x</v>
      </c>
      <c r="J52" s="25" t="str">
        <f t="shared" si="7"/>
        <v>r</v>
      </c>
      <c r="K52" s="25" t="str">
        <f t="shared" si="8"/>
        <v>01</v>
      </c>
      <c r="L52" s="25" t="str">
        <f t="shared" si="9"/>
        <v>DeleteRow</v>
      </c>
      <c r="M52" s="25" t="s">
        <v>652</v>
      </c>
    </row>
    <row r="53" spans="1:13" x14ac:dyDescent="0.25">
      <c r="A53" s="25">
        <v>81</v>
      </c>
      <c r="B53" s="25" t="s">
        <v>172</v>
      </c>
      <c r="C53" s="25" t="s">
        <v>27</v>
      </c>
      <c r="D53" s="25" t="s">
        <v>173</v>
      </c>
      <c r="E53" s="25" t="str">
        <f t="shared" si="2"/>
        <v>F01</v>
      </c>
      <c r="F53" s="25" t="str">
        <f t="shared" si="3"/>
        <v>DZ</v>
      </c>
      <c r="G53" s="25" t="str">
        <f t="shared" si="4"/>
        <v>03</v>
      </c>
      <c r="H53" s="25" t="str">
        <f t="shared" si="5"/>
        <v>0100</v>
      </c>
      <c r="I53" s="25" t="str">
        <f t="shared" si="6"/>
        <v>x</v>
      </c>
      <c r="J53" s="25" t="str">
        <f t="shared" si="7"/>
        <v>r</v>
      </c>
      <c r="K53" s="25" t="str">
        <f t="shared" si="8"/>
        <v>01</v>
      </c>
      <c r="L53" s="25" t="str">
        <f t="shared" si="9"/>
        <v>DeleteRow</v>
      </c>
      <c r="M53" s="25" t="s">
        <v>653</v>
      </c>
    </row>
    <row r="54" spans="1:13" x14ac:dyDescent="0.25">
      <c r="A54" s="25">
        <v>81</v>
      </c>
      <c r="B54" s="25" t="s">
        <v>174</v>
      </c>
      <c r="C54" s="25" t="s">
        <v>27</v>
      </c>
      <c r="D54" s="25" t="s">
        <v>175</v>
      </c>
      <c r="E54" s="25" t="str">
        <f t="shared" si="2"/>
        <v>F01</v>
      </c>
      <c r="F54" s="25" t="str">
        <f t="shared" si="3"/>
        <v>DZ</v>
      </c>
      <c r="G54" s="25" t="str">
        <f t="shared" si="4"/>
        <v>03</v>
      </c>
      <c r="H54" s="25" t="str">
        <f t="shared" si="5"/>
        <v>0150</v>
      </c>
      <c r="I54" s="25" t="str">
        <f t="shared" si="6"/>
        <v>x</v>
      </c>
      <c r="J54" s="25" t="str">
        <f t="shared" si="7"/>
        <v>r</v>
      </c>
      <c r="K54" s="25" t="str">
        <f t="shared" si="8"/>
        <v>01</v>
      </c>
      <c r="L54" s="25" t="str">
        <f t="shared" si="9"/>
        <v>DeleteRow</v>
      </c>
      <c r="M54" s="25" t="s">
        <v>654</v>
      </c>
    </row>
    <row r="55" spans="1:13" x14ac:dyDescent="0.25">
      <c r="A55" s="25">
        <v>81</v>
      </c>
      <c r="B55" s="25" t="s">
        <v>176</v>
      </c>
      <c r="C55" s="25" t="s">
        <v>27</v>
      </c>
      <c r="D55" s="25" t="s">
        <v>177</v>
      </c>
      <c r="E55" s="25" t="str">
        <f t="shared" si="2"/>
        <v>F01</v>
      </c>
      <c r="F55" s="25" t="str">
        <f t="shared" si="3"/>
        <v>LS</v>
      </c>
      <c r="G55" s="25" t="str">
        <f t="shared" si="4"/>
        <v>02</v>
      </c>
      <c r="H55" s="25" t="str">
        <f t="shared" si="5"/>
        <v>0150</v>
      </c>
      <c r="I55" s="25" t="str">
        <f t="shared" si="6"/>
        <v/>
      </c>
      <c r="J55" s="25" t="str">
        <f t="shared" si="7"/>
        <v/>
      </c>
      <c r="K55" s="25" t="str">
        <f t="shared" si="8"/>
        <v>02</v>
      </c>
      <c r="L55" s="25" t="str">
        <f t="shared" si="9"/>
        <v>F01LS020150</v>
      </c>
      <c r="M55" s="25" t="s">
        <v>655</v>
      </c>
    </row>
    <row r="56" spans="1:13" x14ac:dyDescent="0.25">
      <c r="A56" s="25">
        <v>81</v>
      </c>
      <c r="B56" s="25" t="s">
        <v>178</v>
      </c>
      <c r="C56" s="25" t="s">
        <v>27</v>
      </c>
      <c r="D56" s="25" t="s">
        <v>179</v>
      </c>
      <c r="E56" s="25" t="str">
        <f t="shared" si="2"/>
        <v>F01</v>
      </c>
      <c r="F56" s="25" t="str">
        <f t="shared" si="3"/>
        <v>LS</v>
      </c>
      <c r="G56" s="25" t="str">
        <f t="shared" si="4"/>
        <v>02</v>
      </c>
      <c r="H56" s="25" t="str">
        <f t="shared" si="5"/>
        <v>0200</v>
      </c>
      <c r="I56" s="25" t="str">
        <f t="shared" si="6"/>
        <v/>
      </c>
      <c r="J56" s="25" t="str">
        <f t="shared" si="7"/>
        <v/>
      </c>
      <c r="K56" s="25" t="str">
        <f t="shared" si="8"/>
        <v>02</v>
      </c>
      <c r="L56" s="25" t="str">
        <f t="shared" si="9"/>
        <v>F01LS020200</v>
      </c>
      <c r="M56" s="25" t="s">
        <v>656</v>
      </c>
    </row>
    <row r="57" spans="1:13" x14ac:dyDescent="0.25">
      <c r="A57" s="25">
        <v>81</v>
      </c>
      <c r="B57" s="25" t="s">
        <v>180</v>
      </c>
      <c r="C57" s="25" t="s">
        <v>27</v>
      </c>
      <c r="D57" s="25" t="s">
        <v>181</v>
      </c>
      <c r="E57" s="25" t="str">
        <f t="shared" si="2"/>
        <v>F01</v>
      </c>
      <c r="F57" s="25" t="str">
        <f t="shared" si="3"/>
        <v>LS</v>
      </c>
      <c r="G57" s="25" t="str">
        <f t="shared" si="4"/>
        <v>02</v>
      </c>
      <c r="H57" s="25" t="str">
        <f t="shared" si="5"/>
        <v>0400</v>
      </c>
      <c r="I57" s="25" t="str">
        <f t="shared" si="6"/>
        <v/>
      </c>
      <c r="J57" s="25" t="str">
        <f t="shared" si="7"/>
        <v/>
      </c>
      <c r="K57" s="25" t="str">
        <f t="shared" si="8"/>
        <v>02</v>
      </c>
      <c r="L57" s="25" t="str">
        <f t="shared" si="9"/>
        <v>F01LS020400</v>
      </c>
      <c r="M57" s="25" t="s">
        <v>657</v>
      </c>
    </row>
    <row r="58" spans="1:13" x14ac:dyDescent="0.25">
      <c r="A58" s="25">
        <v>81</v>
      </c>
      <c r="B58" s="25" t="s">
        <v>182</v>
      </c>
      <c r="C58" s="25" t="s">
        <v>27</v>
      </c>
      <c r="D58" s="25" t="s">
        <v>183</v>
      </c>
      <c r="E58" s="25" t="str">
        <f t="shared" si="2"/>
        <v>F01</v>
      </c>
      <c r="F58" s="25" t="str">
        <f t="shared" si="3"/>
        <v>LS</v>
      </c>
      <c r="G58" s="25" t="str">
        <f t="shared" si="4"/>
        <v>02</v>
      </c>
      <c r="H58" s="25" t="str">
        <f t="shared" si="5"/>
        <v>0500</v>
      </c>
      <c r="I58" s="25" t="str">
        <f t="shared" si="6"/>
        <v/>
      </c>
      <c r="J58" s="25" t="str">
        <f t="shared" si="7"/>
        <v/>
      </c>
      <c r="K58" s="25" t="str">
        <f t="shared" si="8"/>
        <v>02</v>
      </c>
      <c r="L58" s="25" t="str">
        <f t="shared" si="9"/>
        <v>F01LS020500</v>
      </c>
      <c r="M58" s="25" t="s">
        <v>658</v>
      </c>
    </row>
    <row r="59" spans="1:13" x14ac:dyDescent="0.25">
      <c r="A59" s="25">
        <v>81</v>
      </c>
      <c r="B59" s="25" t="s">
        <v>184</v>
      </c>
      <c r="C59" s="25" t="s">
        <v>27</v>
      </c>
      <c r="D59" s="25" t="s">
        <v>185</v>
      </c>
      <c r="E59" s="25" t="str">
        <f t="shared" si="2"/>
        <v>F01</v>
      </c>
      <c r="F59" s="25" t="str">
        <f t="shared" si="3"/>
        <v>LS</v>
      </c>
      <c r="G59" s="25" t="str">
        <f t="shared" si="4"/>
        <v>02</v>
      </c>
      <c r="H59" s="25" t="str">
        <f t="shared" si="5"/>
        <v>1000</v>
      </c>
      <c r="I59" s="25" t="str">
        <f t="shared" si="6"/>
        <v/>
      </c>
      <c r="J59" s="25" t="str">
        <f t="shared" si="7"/>
        <v/>
      </c>
      <c r="K59" s="25" t="str">
        <f t="shared" si="8"/>
        <v>02</v>
      </c>
      <c r="L59" s="25" t="str">
        <f t="shared" si="9"/>
        <v>F01LS021000</v>
      </c>
      <c r="M59" s="25" t="s">
        <v>659</v>
      </c>
    </row>
    <row r="60" spans="1:13" x14ac:dyDescent="0.25">
      <c r="A60" s="25">
        <v>81</v>
      </c>
      <c r="B60" s="25" t="s">
        <v>186</v>
      </c>
      <c r="C60" s="25" t="s">
        <v>27</v>
      </c>
      <c r="D60" s="25" t="s">
        <v>187</v>
      </c>
      <c r="E60" s="25" t="str">
        <f t="shared" si="2"/>
        <v>F01</v>
      </c>
      <c r="F60" s="25" t="str">
        <f t="shared" si="3"/>
        <v>LS</v>
      </c>
      <c r="G60" s="25" t="str">
        <f t="shared" si="4"/>
        <v>03</v>
      </c>
      <c r="H60" s="25" t="str">
        <f t="shared" si="5"/>
        <v>0050</v>
      </c>
      <c r="I60" s="25" t="str">
        <f t="shared" si="6"/>
        <v/>
      </c>
      <c r="J60" s="25" t="str">
        <f t="shared" si="7"/>
        <v>r</v>
      </c>
      <c r="K60" s="25" t="str">
        <f t="shared" si="8"/>
        <v>01</v>
      </c>
      <c r="L60" s="25" t="str">
        <f t="shared" si="9"/>
        <v>F01LS010050</v>
      </c>
      <c r="M60" s="25" t="s">
        <v>660</v>
      </c>
    </row>
    <row r="61" spans="1:13" x14ac:dyDescent="0.25">
      <c r="A61" s="25">
        <v>81</v>
      </c>
      <c r="B61" s="25" t="s">
        <v>188</v>
      </c>
      <c r="C61" s="25" t="s">
        <v>27</v>
      </c>
      <c r="D61" s="25" t="s">
        <v>189</v>
      </c>
      <c r="E61" s="25" t="str">
        <f t="shared" si="2"/>
        <v>F01</v>
      </c>
      <c r="F61" s="25" t="str">
        <f t="shared" si="3"/>
        <v>LS</v>
      </c>
      <c r="G61" s="25" t="str">
        <f t="shared" si="4"/>
        <v>03</v>
      </c>
      <c r="H61" s="25" t="str">
        <f t="shared" si="5"/>
        <v>0060</v>
      </c>
      <c r="I61" s="25" t="str">
        <f t="shared" si="6"/>
        <v/>
      </c>
      <c r="J61" s="25" t="str">
        <f t="shared" si="7"/>
        <v>r</v>
      </c>
      <c r="K61" s="25" t="str">
        <f t="shared" si="8"/>
        <v>01</v>
      </c>
      <c r="L61" s="25" t="str">
        <f t="shared" si="9"/>
        <v>F01LS010060</v>
      </c>
      <c r="M61" s="25" t="s">
        <v>661</v>
      </c>
    </row>
    <row r="62" spans="1:13" x14ac:dyDescent="0.25">
      <c r="A62" s="25">
        <v>81</v>
      </c>
      <c r="B62" s="25" t="s">
        <v>190</v>
      </c>
      <c r="C62" s="25" t="s">
        <v>27</v>
      </c>
      <c r="D62" s="25" t="s">
        <v>191</v>
      </c>
      <c r="E62" s="25" t="str">
        <f t="shared" si="2"/>
        <v>F01</v>
      </c>
      <c r="F62" s="25" t="str">
        <f t="shared" si="3"/>
        <v>LS</v>
      </c>
      <c r="G62" s="25" t="str">
        <f t="shared" si="4"/>
        <v>03</v>
      </c>
      <c r="H62" s="25" t="str">
        <f t="shared" si="5"/>
        <v>0100</v>
      </c>
      <c r="I62" s="25" t="str">
        <f t="shared" si="6"/>
        <v/>
      </c>
      <c r="J62" s="25" t="str">
        <f t="shared" si="7"/>
        <v>r</v>
      </c>
      <c r="K62" s="25" t="str">
        <f t="shared" si="8"/>
        <v>01</v>
      </c>
      <c r="L62" s="25" t="str">
        <f t="shared" si="9"/>
        <v>F01LS010100</v>
      </c>
      <c r="M62" s="25" t="s">
        <v>662</v>
      </c>
    </row>
    <row r="63" spans="1:13" x14ac:dyDescent="0.25">
      <c r="A63" s="25">
        <v>81</v>
      </c>
      <c r="B63" s="25" t="s">
        <v>192</v>
      </c>
      <c r="C63" s="25" t="s">
        <v>27</v>
      </c>
      <c r="D63" s="25" t="s">
        <v>193</v>
      </c>
      <c r="E63" s="25" t="str">
        <f t="shared" si="2"/>
        <v>F01</v>
      </c>
      <c r="F63" s="25" t="str">
        <f t="shared" si="3"/>
        <v>LS</v>
      </c>
      <c r="G63" s="25" t="str">
        <f t="shared" si="4"/>
        <v>03</v>
      </c>
      <c r="H63" s="25" t="str">
        <f t="shared" si="5"/>
        <v>0120</v>
      </c>
      <c r="I63" s="25" t="str">
        <f t="shared" si="6"/>
        <v/>
      </c>
      <c r="J63" s="25" t="str">
        <f t="shared" si="7"/>
        <v>r</v>
      </c>
      <c r="K63" s="25" t="str">
        <f t="shared" si="8"/>
        <v>01</v>
      </c>
      <c r="L63" s="25" t="str">
        <f t="shared" si="9"/>
        <v>F01LS010120</v>
      </c>
      <c r="M63" s="25" t="s">
        <v>663</v>
      </c>
    </row>
    <row r="64" spans="1:13" x14ac:dyDescent="0.25">
      <c r="A64" s="25">
        <v>81</v>
      </c>
      <c r="B64" s="25" t="s">
        <v>194</v>
      </c>
      <c r="C64" s="25" t="s">
        <v>27</v>
      </c>
      <c r="D64" s="25" t="s">
        <v>195</v>
      </c>
      <c r="E64" s="25" t="str">
        <f t="shared" si="2"/>
        <v>F01</v>
      </c>
      <c r="F64" s="25" t="str">
        <f t="shared" si="3"/>
        <v>LS</v>
      </c>
      <c r="G64" s="25" t="str">
        <f t="shared" si="4"/>
        <v>03</v>
      </c>
      <c r="H64" s="25" t="str">
        <f t="shared" si="5"/>
        <v>0130</v>
      </c>
      <c r="I64" s="25" t="str">
        <f t="shared" si="6"/>
        <v/>
      </c>
      <c r="J64" s="25" t="str">
        <f t="shared" si="7"/>
        <v>r</v>
      </c>
      <c r="K64" s="25" t="str">
        <f t="shared" si="8"/>
        <v>01</v>
      </c>
      <c r="L64" s="25" t="str">
        <f t="shared" si="9"/>
        <v>F01LS010130</v>
      </c>
      <c r="M64" s="25" t="s">
        <v>664</v>
      </c>
    </row>
    <row r="65" spans="1:13" x14ac:dyDescent="0.25">
      <c r="A65" s="25">
        <v>81</v>
      </c>
      <c r="B65" s="25" t="s">
        <v>196</v>
      </c>
      <c r="C65" s="25" t="s">
        <v>27</v>
      </c>
      <c r="D65" s="25" t="s">
        <v>197</v>
      </c>
      <c r="E65" s="25" t="str">
        <f t="shared" si="2"/>
        <v>F01</v>
      </c>
      <c r="F65" s="25" t="str">
        <f t="shared" si="3"/>
        <v>LS</v>
      </c>
      <c r="G65" s="25" t="str">
        <f t="shared" si="4"/>
        <v>03</v>
      </c>
      <c r="H65" s="25" t="str">
        <f t="shared" si="5"/>
        <v>0150</v>
      </c>
      <c r="I65" s="25" t="str">
        <f t="shared" si="6"/>
        <v/>
      </c>
      <c r="J65" s="25" t="str">
        <f t="shared" si="7"/>
        <v>r</v>
      </c>
      <c r="K65" s="25" t="str">
        <f t="shared" si="8"/>
        <v>01</v>
      </c>
      <c r="L65" s="25" t="str">
        <f t="shared" si="9"/>
        <v>F01LS010150</v>
      </c>
      <c r="M65" s="25" t="s">
        <v>665</v>
      </c>
    </row>
    <row r="66" spans="1:13" x14ac:dyDescent="0.25">
      <c r="A66" s="25">
        <v>81</v>
      </c>
      <c r="B66" s="25" t="s">
        <v>198</v>
      </c>
      <c r="C66" s="25" t="s">
        <v>27</v>
      </c>
      <c r="D66" s="25" t="s">
        <v>199</v>
      </c>
      <c r="E66" s="25" t="str">
        <f t="shared" si="2"/>
        <v>F01</v>
      </c>
      <c r="F66" s="25" t="str">
        <f t="shared" si="3"/>
        <v>LS</v>
      </c>
      <c r="G66" s="25" t="str">
        <f t="shared" si="4"/>
        <v>03</v>
      </c>
      <c r="H66" s="25" t="str">
        <f t="shared" si="5"/>
        <v>0160</v>
      </c>
      <c r="I66" s="25" t="str">
        <f t="shared" si="6"/>
        <v/>
      </c>
      <c r="J66" s="25" t="str">
        <f t="shared" si="7"/>
        <v>r</v>
      </c>
      <c r="K66" s="25" t="str">
        <f t="shared" si="8"/>
        <v>01</v>
      </c>
      <c r="L66" s="25" t="str">
        <f t="shared" si="9"/>
        <v>F01LS010160</v>
      </c>
      <c r="M66" s="25" t="s">
        <v>666</v>
      </c>
    </row>
    <row r="67" spans="1:13" x14ac:dyDescent="0.25">
      <c r="A67" s="25">
        <v>81</v>
      </c>
      <c r="B67" s="25" t="s">
        <v>200</v>
      </c>
      <c r="C67" s="25" t="s">
        <v>27</v>
      </c>
      <c r="D67" s="25" t="s">
        <v>201</v>
      </c>
      <c r="E67" s="25" t="str">
        <f t="shared" si="2"/>
        <v>F01</v>
      </c>
      <c r="F67" s="25" t="str">
        <f t="shared" si="3"/>
        <v>LS</v>
      </c>
      <c r="G67" s="25" t="str">
        <f t="shared" si="4"/>
        <v>03</v>
      </c>
      <c r="H67" s="25" t="str">
        <f t="shared" si="5"/>
        <v>0180</v>
      </c>
      <c r="I67" s="25" t="str">
        <f t="shared" si="6"/>
        <v/>
      </c>
      <c r="J67" s="25" t="str">
        <f t="shared" si="7"/>
        <v>r</v>
      </c>
      <c r="K67" s="25" t="str">
        <f t="shared" si="8"/>
        <v>01</v>
      </c>
      <c r="L67" s="25" t="str">
        <f t="shared" si="9"/>
        <v>F01LS010180</v>
      </c>
      <c r="M67" s="25" t="s">
        <v>667</v>
      </c>
    </row>
    <row r="68" spans="1:13" x14ac:dyDescent="0.25">
      <c r="A68" s="25">
        <v>81</v>
      </c>
      <c r="B68" s="25" t="s">
        <v>202</v>
      </c>
      <c r="C68" s="25" t="s">
        <v>27</v>
      </c>
      <c r="D68" s="25" t="s">
        <v>203</v>
      </c>
      <c r="E68" s="25" t="str">
        <f t="shared" si="2"/>
        <v>F01</v>
      </c>
      <c r="F68" s="25" t="str">
        <f t="shared" si="3"/>
        <v>LS</v>
      </c>
      <c r="G68" s="25" t="str">
        <f t="shared" si="4"/>
        <v>03</v>
      </c>
      <c r="H68" s="25" t="str">
        <f t="shared" si="5"/>
        <v>0200</v>
      </c>
      <c r="I68" s="25" t="str">
        <f t="shared" si="6"/>
        <v/>
      </c>
      <c r="J68" s="25" t="str">
        <f t="shared" si="7"/>
        <v>r</v>
      </c>
      <c r="K68" s="25" t="str">
        <f t="shared" si="8"/>
        <v>01</v>
      </c>
      <c r="L68" s="25" t="str">
        <f t="shared" si="9"/>
        <v>F01LS010200</v>
      </c>
      <c r="M68" s="25" t="s">
        <v>668</v>
      </c>
    </row>
    <row r="69" spans="1:13" x14ac:dyDescent="0.25">
      <c r="A69" s="25">
        <v>81</v>
      </c>
      <c r="B69" s="25" t="s">
        <v>204</v>
      </c>
      <c r="C69" s="25" t="s">
        <v>27</v>
      </c>
      <c r="D69" s="25" t="s">
        <v>205</v>
      </c>
      <c r="E69" s="25" t="str">
        <f t="shared" si="2"/>
        <v>F01</v>
      </c>
      <c r="F69" s="25" t="str">
        <f t="shared" si="3"/>
        <v>LS</v>
      </c>
      <c r="G69" s="25" t="str">
        <f t="shared" si="4"/>
        <v>03</v>
      </c>
      <c r="H69" s="25" t="str">
        <f t="shared" si="5"/>
        <v>0250</v>
      </c>
      <c r="I69" s="25" t="str">
        <f t="shared" si="6"/>
        <v/>
      </c>
      <c r="J69" s="25" t="str">
        <f t="shared" si="7"/>
        <v>r</v>
      </c>
      <c r="K69" s="25" t="str">
        <f t="shared" si="8"/>
        <v>01</v>
      </c>
      <c r="L69" s="25" t="str">
        <f t="shared" si="9"/>
        <v>F01LS010250</v>
      </c>
      <c r="M69" s="25" t="s">
        <v>669</v>
      </c>
    </row>
    <row r="70" spans="1:13" x14ac:dyDescent="0.25">
      <c r="A70" s="25">
        <v>81</v>
      </c>
      <c r="B70" s="25" t="s">
        <v>206</v>
      </c>
      <c r="C70" s="25" t="s">
        <v>27</v>
      </c>
      <c r="D70" s="25" t="s">
        <v>207</v>
      </c>
      <c r="E70" s="25" t="str">
        <f t="shared" si="2"/>
        <v>F01</v>
      </c>
      <c r="F70" s="25" t="str">
        <f t="shared" si="3"/>
        <v>LS</v>
      </c>
      <c r="G70" s="25" t="str">
        <f t="shared" si="4"/>
        <v>03</v>
      </c>
      <c r="H70" s="25" t="str">
        <f t="shared" si="5"/>
        <v>0300</v>
      </c>
      <c r="I70" s="25" t="str">
        <f t="shared" si="6"/>
        <v/>
      </c>
      <c r="J70" s="25" t="str">
        <f t="shared" si="7"/>
        <v>r</v>
      </c>
      <c r="K70" s="25" t="str">
        <f t="shared" si="8"/>
        <v>01</v>
      </c>
      <c r="L70" s="25" t="str">
        <f t="shared" si="9"/>
        <v>F01LS010300</v>
      </c>
      <c r="M70" s="25" t="s">
        <v>670</v>
      </c>
    </row>
    <row r="71" spans="1:13" x14ac:dyDescent="0.25">
      <c r="A71" s="25">
        <v>81</v>
      </c>
      <c r="B71" s="25" t="s">
        <v>208</v>
      </c>
      <c r="C71" s="25" t="s">
        <v>27</v>
      </c>
      <c r="D71" s="25" t="s">
        <v>209</v>
      </c>
      <c r="E71" s="25" t="str">
        <f t="shared" si="2"/>
        <v>F01</v>
      </c>
      <c r="F71" s="25" t="str">
        <f t="shared" si="3"/>
        <v>LS</v>
      </c>
      <c r="G71" s="25" t="str">
        <f t="shared" si="4"/>
        <v>03</v>
      </c>
      <c r="H71" s="25" t="str">
        <f t="shared" si="5"/>
        <v>0500</v>
      </c>
      <c r="I71" s="25" t="str">
        <f t="shared" si="6"/>
        <v/>
      </c>
      <c r="J71" s="25" t="str">
        <f t="shared" si="7"/>
        <v>r</v>
      </c>
      <c r="K71" s="25" t="str">
        <f t="shared" si="8"/>
        <v>01</v>
      </c>
      <c r="L71" s="25" t="str">
        <f t="shared" si="9"/>
        <v>F01LS010500</v>
      </c>
      <c r="M71" s="25" t="s">
        <v>671</v>
      </c>
    </row>
    <row r="72" spans="1:13" x14ac:dyDescent="0.25">
      <c r="A72" s="25">
        <v>81</v>
      </c>
      <c r="B72" s="25" t="s">
        <v>210</v>
      </c>
      <c r="C72" s="25" t="s">
        <v>27</v>
      </c>
      <c r="D72" s="25" t="s">
        <v>211</v>
      </c>
      <c r="E72" s="25" t="str">
        <f t="shared" si="2"/>
        <v>F01</v>
      </c>
      <c r="F72" s="25" t="str">
        <f t="shared" si="3"/>
        <v>LS</v>
      </c>
      <c r="G72" s="25" t="str">
        <f t="shared" si="4"/>
        <v>03</v>
      </c>
      <c r="H72" s="25" t="str">
        <f t="shared" si="5"/>
        <v>1000</v>
      </c>
      <c r="I72" s="25" t="str">
        <f t="shared" si="6"/>
        <v/>
      </c>
      <c r="J72" s="25" t="str">
        <f t="shared" si="7"/>
        <v>r</v>
      </c>
      <c r="K72" s="25" t="str">
        <f t="shared" si="8"/>
        <v>01</v>
      </c>
      <c r="L72" s="25" t="str">
        <f t="shared" si="9"/>
        <v>F01LS011000</v>
      </c>
      <c r="M72" s="25" t="s">
        <v>672</v>
      </c>
    </row>
    <row r="73" spans="1:13" x14ac:dyDescent="0.25">
      <c r="A73" s="25">
        <v>81</v>
      </c>
      <c r="B73" s="25" t="s">
        <v>212</v>
      </c>
      <c r="C73" s="25" t="s">
        <v>27</v>
      </c>
      <c r="D73" s="25" t="s">
        <v>213</v>
      </c>
      <c r="E73" s="25" t="str">
        <f t="shared" si="2"/>
        <v>F01</v>
      </c>
      <c r="F73" s="25" t="str">
        <f t="shared" si="3"/>
        <v>LS</v>
      </c>
      <c r="G73" s="25" t="str">
        <f t="shared" si="4"/>
        <v>04</v>
      </c>
      <c r="H73" s="25" t="str">
        <f t="shared" si="5"/>
        <v>0500</v>
      </c>
      <c r="I73" s="25" t="str">
        <f t="shared" si="6"/>
        <v/>
      </c>
      <c r="J73" s="25" t="str">
        <f t="shared" si="7"/>
        <v/>
      </c>
      <c r="K73" s="25" t="str">
        <f t="shared" si="8"/>
        <v>04</v>
      </c>
      <c r="L73" s="25" t="str">
        <f t="shared" si="9"/>
        <v>F01LS040500</v>
      </c>
      <c r="M73" s="25" t="s">
        <v>673</v>
      </c>
    </row>
    <row r="74" spans="1:13" x14ac:dyDescent="0.25">
      <c r="A74" s="25">
        <v>81</v>
      </c>
      <c r="B74" s="25" t="s">
        <v>214</v>
      </c>
      <c r="C74" s="25" t="s">
        <v>27</v>
      </c>
      <c r="D74" s="25" t="s">
        <v>215</v>
      </c>
      <c r="E74" s="25" t="str">
        <f t="shared" si="2"/>
        <v>F01</v>
      </c>
      <c r="F74" s="25" t="str">
        <f t="shared" si="3"/>
        <v>LT</v>
      </c>
      <c r="G74" s="25" t="str">
        <f t="shared" si="4"/>
        <v>03</v>
      </c>
      <c r="H74" s="25" t="str">
        <f t="shared" si="5"/>
        <v>0025</v>
      </c>
      <c r="I74" s="25" t="str">
        <f t="shared" si="6"/>
        <v/>
      </c>
      <c r="J74" s="25" t="str">
        <f t="shared" si="7"/>
        <v>r</v>
      </c>
      <c r="K74" s="25" t="str">
        <f t="shared" si="8"/>
        <v>01</v>
      </c>
      <c r="L74" s="25" t="str">
        <f t="shared" si="9"/>
        <v>F01LT010025</v>
      </c>
      <c r="M74" s="25" t="s">
        <v>674</v>
      </c>
    </row>
    <row r="75" spans="1:13" x14ac:dyDescent="0.25">
      <c r="A75" s="25">
        <v>81</v>
      </c>
      <c r="B75" s="25" t="s">
        <v>216</v>
      </c>
      <c r="C75" s="25" t="s">
        <v>27</v>
      </c>
      <c r="D75" s="25" t="s">
        <v>217</v>
      </c>
      <c r="E75" s="25" t="str">
        <f t="shared" si="2"/>
        <v>F01</v>
      </c>
      <c r="F75" s="25" t="str">
        <f t="shared" si="3"/>
        <v>LT</v>
      </c>
      <c r="G75" s="25" t="str">
        <f t="shared" si="4"/>
        <v>03</v>
      </c>
      <c r="H75" s="25" t="str">
        <f t="shared" si="5"/>
        <v>0070</v>
      </c>
      <c r="I75" s="25" t="str">
        <f t="shared" si="6"/>
        <v/>
      </c>
      <c r="J75" s="25" t="str">
        <f t="shared" si="7"/>
        <v>r</v>
      </c>
      <c r="K75" s="25" t="str">
        <f t="shared" si="8"/>
        <v>01</v>
      </c>
      <c r="L75" s="25" t="str">
        <f t="shared" si="9"/>
        <v>F01LT010070</v>
      </c>
      <c r="M75" s="25" t="s">
        <v>675</v>
      </c>
    </row>
    <row r="76" spans="1:13" x14ac:dyDescent="0.25">
      <c r="A76" s="25">
        <v>81</v>
      </c>
      <c r="B76" s="25" t="s">
        <v>218</v>
      </c>
      <c r="C76" s="25" t="s">
        <v>27</v>
      </c>
      <c r="D76" s="25" t="s">
        <v>219</v>
      </c>
      <c r="E76" s="25" t="str">
        <f t="shared" si="2"/>
        <v>F01</v>
      </c>
      <c r="F76" s="25" t="str">
        <f t="shared" si="3"/>
        <v>LT</v>
      </c>
      <c r="G76" s="25" t="str">
        <f t="shared" si="4"/>
        <v>03</v>
      </c>
      <c r="H76" s="25" t="str">
        <f t="shared" si="5"/>
        <v>0100</v>
      </c>
      <c r="I76" s="25" t="str">
        <f t="shared" si="6"/>
        <v/>
      </c>
      <c r="J76" s="25" t="str">
        <f t="shared" si="7"/>
        <v>r</v>
      </c>
      <c r="K76" s="25" t="str">
        <f t="shared" si="8"/>
        <v>01</v>
      </c>
      <c r="L76" s="25" t="str">
        <f t="shared" si="9"/>
        <v>F01LT010100</v>
      </c>
      <c r="M76" s="25" t="s">
        <v>676</v>
      </c>
    </row>
    <row r="77" spans="1:13" x14ac:dyDescent="0.25">
      <c r="A77" s="25">
        <v>81</v>
      </c>
      <c r="B77" s="25" t="s">
        <v>220</v>
      </c>
      <c r="C77" s="25" t="s">
        <v>27</v>
      </c>
      <c r="D77" s="25" t="s">
        <v>221</v>
      </c>
      <c r="E77" s="25" t="str">
        <f t="shared" si="2"/>
        <v>F01</v>
      </c>
      <c r="F77" s="25" t="str">
        <f t="shared" si="3"/>
        <v>LT</v>
      </c>
      <c r="G77" s="25" t="str">
        <f t="shared" si="4"/>
        <v>03</v>
      </c>
      <c r="H77" s="25" t="str">
        <f t="shared" si="5"/>
        <v>0150</v>
      </c>
      <c r="I77" s="25" t="str">
        <f t="shared" si="6"/>
        <v/>
      </c>
      <c r="J77" s="25" t="str">
        <f t="shared" si="7"/>
        <v>r</v>
      </c>
      <c r="K77" s="25" t="str">
        <f t="shared" si="8"/>
        <v>01</v>
      </c>
      <c r="L77" s="25" t="str">
        <f t="shared" si="9"/>
        <v>F01LT010150</v>
      </c>
      <c r="M77" s="25" t="s">
        <v>677</v>
      </c>
    </row>
    <row r="78" spans="1:13" x14ac:dyDescent="0.25">
      <c r="A78" s="25">
        <v>81</v>
      </c>
      <c r="B78" s="25" t="s">
        <v>222</v>
      </c>
      <c r="C78" s="25" t="s">
        <v>27</v>
      </c>
      <c r="D78" s="25" t="s">
        <v>223</v>
      </c>
      <c r="E78" s="25" t="str">
        <f t="shared" si="2"/>
        <v>F01</v>
      </c>
      <c r="F78" s="25" t="str">
        <f t="shared" si="3"/>
        <v>LT</v>
      </c>
      <c r="G78" s="25" t="str">
        <f t="shared" si="4"/>
        <v>03</v>
      </c>
      <c r="H78" s="25" t="str">
        <f t="shared" si="5"/>
        <v>0160</v>
      </c>
      <c r="I78" s="25" t="str">
        <f t="shared" si="6"/>
        <v/>
      </c>
      <c r="J78" s="25" t="str">
        <f t="shared" si="7"/>
        <v>r</v>
      </c>
      <c r="K78" s="25" t="str">
        <f t="shared" si="8"/>
        <v>01</v>
      </c>
      <c r="L78" s="25" t="str">
        <f t="shared" si="9"/>
        <v>F01LT010160</v>
      </c>
      <c r="M78" s="25" t="s">
        <v>678</v>
      </c>
    </row>
    <row r="79" spans="1:13" x14ac:dyDescent="0.25">
      <c r="A79" s="25">
        <v>81</v>
      </c>
      <c r="B79" s="25" t="s">
        <v>224</v>
      </c>
      <c r="C79" s="25" t="s">
        <v>27</v>
      </c>
      <c r="D79" s="25" t="s">
        <v>225</v>
      </c>
      <c r="E79" s="25" t="str">
        <f t="shared" si="2"/>
        <v>F01</v>
      </c>
      <c r="F79" s="25" t="str">
        <f t="shared" si="3"/>
        <v>LT</v>
      </c>
      <c r="G79" s="25" t="str">
        <f t="shared" si="4"/>
        <v>03</v>
      </c>
      <c r="H79" s="25" t="str">
        <f t="shared" si="5"/>
        <v>0180</v>
      </c>
      <c r="I79" s="25" t="str">
        <f t="shared" si="6"/>
        <v/>
      </c>
      <c r="J79" s="25" t="str">
        <f t="shared" si="7"/>
        <v>r</v>
      </c>
      <c r="K79" s="25" t="str">
        <f t="shared" si="8"/>
        <v>01</v>
      </c>
      <c r="L79" s="25" t="str">
        <f t="shared" si="9"/>
        <v>F01LT010180</v>
      </c>
      <c r="M79" s="25" t="s">
        <v>679</v>
      </c>
    </row>
    <row r="80" spans="1:13" x14ac:dyDescent="0.25">
      <c r="A80" s="25">
        <v>81</v>
      </c>
      <c r="B80" s="25" t="s">
        <v>226</v>
      </c>
      <c r="C80" s="25" t="s">
        <v>27</v>
      </c>
      <c r="D80" s="25" t="s">
        <v>227</v>
      </c>
      <c r="E80" s="25" t="str">
        <f t="shared" si="2"/>
        <v>F01</v>
      </c>
      <c r="F80" s="25" t="str">
        <f t="shared" si="3"/>
        <v>LT</v>
      </c>
      <c r="G80" s="25" t="str">
        <f t="shared" si="4"/>
        <v>03</v>
      </c>
      <c r="H80" s="25" t="str">
        <f t="shared" si="5"/>
        <v>0300</v>
      </c>
      <c r="I80" s="25" t="str">
        <f t="shared" si="6"/>
        <v/>
      </c>
      <c r="J80" s="25" t="str">
        <f t="shared" si="7"/>
        <v>r</v>
      </c>
      <c r="K80" s="25" t="str">
        <f t="shared" si="8"/>
        <v>01</v>
      </c>
      <c r="L80" s="25" t="str">
        <f t="shared" si="9"/>
        <v>F01LT010300</v>
      </c>
      <c r="M80" s="25" t="s">
        <v>680</v>
      </c>
    </row>
    <row r="81" spans="1:13" x14ac:dyDescent="0.25">
      <c r="A81" s="25">
        <v>81</v>
      </c>
      <c r="B81" s="25" t="s">
        <v>228</v>
      </c>
      <c r="C81" s="25" t="s">
        <v>27</v>
      </c>
      <c r="D81" s="25" t="s">
        <v>229</v>
      </c>
      <c r="E81" s="25" t="str">
        <f t="shared" ref="E81:E144" si="10">RIGHT(LEFT(B81,6),3)</f>
        <v>F01</v>
      </c>
      <c r="F81" s="25" t="str">
        <f t="shared" ref="F81:F144" si="11">RIGHT(LEFT(B81,9),2)</f>
        <v>LT</v>
      </c>
      <c r="G81" s="25" t="str">
        <f t="shared" ref="G81:G144" si="12">RIGHT(LEFT(B81,11),2)</f>
        <v>03</v>
      </c>
      <c r="H81" s="25" t="str">
        <f t="shared" ref="H81:H144" si="13">RIGHT(LEFT(B81,15),4)</f>
        <v>0500</v>
      </c>
      <c r="I81" s="25" t="str">
        <f t="shared" ref="I81:I144" si="14">IF(OR(F81="DV",F81="DZ"),"x","")</f>
        <v/>
      </c>
      <c r="J81" s="25" t="str">
        <f t="shared" ref="J81:J144" si="15">IF(G81="05","x",IF(G81="03","r",""))</f>
        <v>r</v>
      </c>
      <c r="K81" s="25" t="str">
        <f t="shared" ref="K81:K144" si="16">IF(J81="r","01",G81)</f>
        <v>01</v>
      </c>
      <c r="L81" s="25" t="str">
        <f t="shared" ref="L81:L144" si="17">IF(OR(I81="x",J81="x"),"DeleteRow",E81&amp;F81&amp;K81&amp;H81)</f>
        <v>F01LT010500</v>
      </c>
      <c r="M81" s="25" t="s">
        <v>681</v>
      </c>
    </row>
    <row r="82" spans="1:13" x14ac:dyDescent="0.25">
      <c r="A82" s="25">
        <v>81</v>
      </c>
      <c r="B82" s="25" t="s">
        <v>230</v>
      </c>
      <c r="C82" s="25" t="s">
        <v>27</v>
      </c>
      <c r="D82" s="25" t="s">
        <v>231</v>
      </c>
      <c r="E82" s="25" t="str">
        <f t="shared" si="10"/>
        <v>F01</v>
      </c>
      <c r="F82" s="25" t="str">
        <f t="shared" si="11"/>
        <v>LT</v>
      </c>
      <c r="G82" s="25" t="str">
        <f t="shared" si="12"/>
        <v>05</v>
      </c>
      <c r="H82" s="25" t="str">
        <f t="shared" si="13"/>
        <v>0025</v>
      </c>
      <c r="I82" s="25" t="str">
        <f t="shared" si="14"/>
        <v/>
      </c>
      <c r="J82" s="25" t="str">
        <f t="shared" si="15"/>
        <v>x</v>
      </c>
      <c r="K82" s="25" t="str">
        <f t="shared" si="16"/>
        <v>05</v>
      </c>
      <c r="L82" s="25" t="str">
        <f t="shared" si="17"/>
        <v>DeleteRow</v>
      </c>
      <c r="M82" s="25" t="s">
        <v>682</v>
      </c>
    </row>
    <row r="83" spans="1:13" x14ac:dyDescent="0.25">
      <c r="A83" s="25">
        <v>81</v>
      </c>
      <c r="B83" s="25" t="s">
        <v>232</v>
      </c>
      <c r="C83" s="25" t="s">
        <v>27</v>
      </c>
      <c r="D83" s="25" t="s">
        <v>233</v>
      </c>
      <c r="E83" s="25" t="str">
        <f t="shared" si="10"/>
        <v>F01</v>
      </c>
      <c r="F83" s="25" t="str">
        <f t="shared" si="11"/>
        <v>T0</v>
      </c>
      <c r="G83" s="25" t="str">
        <f t="shared" si="12"/>
        <v>02</v>
      </c>
      <c r="H83" s="25" t="str">
        <f t="shared" si="13"/>
        <v>0150</v>
      </c>
      <c r="I83" s="25" t="str">
        <f t="shared" si="14"/>
        <v/>
      </c>
      <c r="J83" s="25" t="str">
        <f t="shared" si="15"/>
        <v/>
      </c>
      <c r="K83" s="25" t="str">
        <f t="shared" si="16"/>
        <v>02</v>
      </c>
      <c r="L83" s="25" t="str">
        <f t="shared" si="17"/>
        <v>F01T0020150</v>
      </c>
      <c r="M83" s="25" t="s">
        <v>683</v>
      </c>
    </row>
    <row r="84" spans="1:13" x14ac:dyDescent="0.25">
      <c r="A84" s="25">
        <v>81</v>
      </c>
      <c r="B84" s="25" t="s">
        <v>234</v>
      </c>
      <c r="C84" s="25" t="s">
        <v>27</v>
      </c>
      <c r="D84" s="25" t="s">
        <v>235</v>
      </c>
      <c r="E84" s="25" t="str">
        <f t="shared" si="10"/>
        <v>F01</v>
      </c>
      <c r="F84" s="25" t="str">
        <f t="shared" si="11"/>
        <v>T0</v>
      </c>
      <c r="G84" s="25" t="str">
        <f t="shared" si="12"/>
        <v>02</v>
      </c>
      <c r="H84" s="25" t="str">
        <f t="shared" si="13"/>
        <v>0200</v>
      </c>
      <c r="I84" s="25" t="str">
        <f t="shared" si="14"/>
        <v/>
      </c>
      <c r="J84" s="25" t="str">
        <f t="shared" si="15"/>
        <v/>
      </c>
      <c r="K84" s="25" t="str">
        <f t="shared" si="16"/>
        <v>02</v>
      </c>
      <c r="L84" s="25" t="str">
        <f t="shared" si="17"/>
        <v>F01T0020200</v>
      </c>
      <c r="M84" s="25" t="s">
        <v>684</v>
      </c>
    </row>
    <row r="85" spans="1:13" x14ac:dyDescent="0.25">
      <c r="A85" s="25">
        <v>81</v>
      </c>
      <c r="B85" s="25" t="s">
        <v>236</v>
      </c>
      <c r="C85" s="25" t="s">
        <v>27</v>
      </c>
      <c r="D85" s="25" t="s">
        <v>237</v>
      </c>
      <c r="E85" s="25" t="str">
        <f t="shared" si="10"/>
        <v>F01</v>
      </c>
      <c r="F85" s="25" t="str">
        <f t="shared" si="11"/>
        <v>T0</v>
      </c>
      <c r="G85" s="25" t="str">
        <f t="shared" si="12"/>
        <v>02</v>
      </c>
      <c r="H85" s="25" t="str">
        <f t="shared" si="13"/>
        <v>0400</v>
      </c>
      <c r="I85" s="25" t="str">
        <f t="shared" si="14"/>
        <v/>
      </c>
      <c r="J85" s="25" t="str">
        <f t="shared" si="15"/>
        <v/>
      </c>
      <c r="K85" s="25" t="str">
        <f t="shared" si="16"/>
        <v>02</v>
      </c>
      <c r="L85" s="25" t="str">
        <f t="shared" si="17"/>
        <v>F01T0020400</v>
      </c>
      <c r="M85" s="25" t="s">
        <v>685</v>
      </c>
    </row>
    <row r="86" spans="1:13" x14ac:dyDescent="0.25">
      <c r="A86" s="25">
        <v>81</v>
      </c>
      <c r="B86" s="25" t="s">
        <v>238</v>
      </c>
      <c r="C86" s="25" t="s">
        <v>27</v>
      </c>
      <c r="D86" s="25" t="s">
        <v>239</v>
      </c>
      <c r="E86" s="25" t="str">
        <f t="shared" si="10"/>
        <v>F01</v>
      </c>
      <c r="F86" s="25" t="str">
        <f t="shared" si="11"/>
        <v>T0</v>
      </c>
      <c r="G86" s="25" t="str">
        <f t="shared" si="12"/>
        <v>02</v>
      </c>
      <c r="H86" s="25" t="str">
        <f t="shared" si="13"/>
        <v>1000</v>
      </c>
      <c r="I86" s="25" t="str">
        <f t="shared" si="14"/>
        <v/>
      </c>
      <c r="J86" s="25" t="str">
        <f t="shared" si="15"/>
        <v/>
      </c>
      <c r="K86" s="25" t="str">
        <f t="shared" si="16"/>
        <v>02</v>
      </c>
      <c r="L86" s="25" t="str">
        <f t="shared" si="17"/>
        <v>F01T0021000</v>
      </c>
      <c r="M86" s="25" t="s">
        <v>686</v>
      </c>
    </row>
    <row r="87" spans="1:13" x14ac:dyDescent="0.25">
      <c r="A87" s="25">
        <v>81</v>
      </c>
      <c r="B87" s="25" t="s">
        <v>240</v>
      </c>
      <c r="C87" s="25" t="s">
        <v>27</v>
      </c>
      <c r="D87" s="25" t="s">
        <v>241</v>
      </c>
      <c r="E87" s="25" t="str">
        <f t="shared" si="10"/>
        <v>F01</v>
      </c>
      <c r="F87" s="25" t="str">
        <f t="shared" si="11"/>
        <v>T0</v>
      </c>
      <c r="G87" s="25" t="str">
        <f t="shared" si="12"/>
        <v>03</v>
      </c>
      <c r="H87" s="25" t="str">
        <f t="shared" si="13"/>
        <v>0050</v>
      </c>
      <c r="I87" s="25" t="str">
        <f t="shared" si="14"/>
        <v/>
      </c>
      <c r="J87" s="25" t="str">
        <f t="shared" si="15"/>
        <v>r</v>
      </c>
      <c r="K87" s="25" t="str">
        <f t="shared" si="16"/>
        <v>01</v>
      </c>
      <c r="L87" s="25" t="str">
        <f t="shared" si="17"/>
        <v>F01T0010050</v>
      </c>
      <c r="M87" s="25" t="s">
        <v>687</v>
      </c>
    </row>
    <row r="88" spans="1:13" x14ac:dyDescent="0.25">
      <c r="A88" s="25">
        <v>81</v>
      </c>
      <c r="B88" s="25" t="s">
        <v>242</v>
      </c>
      <c r="C88" s="25" t="s">
        <v>27</v>
      </c>
      <c r="D88" s="25" t="s">
        <v>243</v>
      </c>
      <c r="E88" s="25" t="str">
        <f t="shared" si="10"/>
        <v>F01</v>
      </c>
      <c r="F88" s="25" t="str">
        <f t="shared" si="11"/>
        <v>T0</v>
      </c>
      <c r="G88" s="25" t="str">
        <f t="shared" si="12"/>
        <v>03</v>
      </c>
      <c r="H88" s="25" t="str">
        <f t="shared" si="13"/>
        <v>0060</v>
      </c>
      <c r="I88" s="25" t="str">
        <f t="shared" si="14"/>
        <v/>
      </c>
      <c r="J88" s="25" t="str">
        <f t="shared" si="15"/>
        <v>r</v>
      </c>
      <c r="K88" s="25" t="str">
        <f t="shared" si="16"/>
        <v>01</v>
      </c>
      <c r="L88" s="25" t="str">
        <f t="shared" si="17"/>
        <v>F01T0010060</v>
      </c>
      <c r="M88" s="25" t="s">
        <v>688</v>
      </c>
    </row>
    <row r="89" spans="1:13" x14ac:dyDescent="0.25">
      <c r="A89" s="25">
        <v>81</v>
      </c>
      <c r="B89" s="25" t="s">
        <v>244</v>
      </c>
      <c r="C89" s="25" t="s">
        <v>27</v>
      </c>
      <c r="D89" s="25" t="s">
        <v>245</v>
      </c>
      <c r="E89" s="25" t="str">
        <f t="shared" si="10"/>
        <v>F01</v>
      </c>
      <c r="F89" s="25" t="str">
        <f t="shared" si="11"/>
        <v>T0</v>
      </c>
      <c r="G89" s="25" t="str">
        <f t="shared" si="12"/>
        <v>03</v>
      </c>
      <c r="H89" s="25" t="str">
        <f t="shared" si="13"/>
        <v>0070</v>
      </c>
      <c r="I89" s="25" t="str">
        <f t="shared" si="14"/>
        <v/>
      </c>
      <c r="J89" s="25" t="str">
        <f t="shared" si="15"/>
        <v>r</v>
      </c>
      <c r="K89" s="25" t="str">
        <f t="shared" si="16"/>
        <v>01</v>
      </c>
      <c r="L89" s="25" t="str">
        <f t="shared" si="17"/>
        <v>F01T0010070</v>
      </c>
      <c r="M89" s="25" t="s">
        <v>689</v>
      </c>
    </row>
    <row r="90" spans="1:13" x14ac:dyDescent="0.25">
      <c r="A90" s="25">
        <v>81</v>
      </c>
      <c r="B90" s="25" t="s">
        <v>246</v>
      </c>
      <c r="C90" s="25" t="s">
        <v>27</v>
      </c>
      <c r="D90" s="25" t="s">
        <v>247</v>
      </c>
      <c r="E90" s="25" t="str">
        <f t="shared" si="10"/>
        <v>F01</v>
      </c>
      <c r="F90" s="25" t="str">
        <f t="shared" si="11"/>
        <v>T0</v>
      </c>
      <c r="G90" s="25" t="str">
        <f t="shared" si="12"/>
        <v>03</v>
      </c>
      <c r="H90" s="25" t="str">
        <f t="shared" si="13"/>
        <v>0100</v>
      </c>
      <c r="I90" s="25" t="str">
        <f t="shared" si="14"/>
        <v/>
      </c>
      <c r="J90" s="25" t="str">
        <f t="shared" si="15"/>
        <v>r</v>
      </c>
      <c r="K90" s="25" t="str">
        <f t="shared" si="16"/>
        <v>01</v>
      </c>
      <c r="L90" s="25" t="str">
        <f t="shared" si="17"/>
        <v>F01T0010100</v>
      </c>
      <c r="M90" s="25" t="s">
        <v>690</v>
      </c>
    </row>
    <row r="91" spans="1:13" x14ac:dyDescent="0.25">
      <c r="A91" s="25">
        <v>81</v>
      </c>
      <c r="B91" s="25" t="s">
        <v>248</v>
      </c>
      <c r="C91" s="25" t="s">
        <v>27</v>
      </c>
      <c r="D91" s="25" t="s">
        <v>249</v>
      </c>
      <c r="E91" s="25" t="str">
        <f t="shared" si="10"/>
        <v>F01</v>
      </c>
      <c r="F91" s="25" t="str">
        <f t="shared" si="11"/>
        <v>T0</v>
      </c>
      <c r="G91" s="25" t="str">
        <f t="shared" si="12"/>
        <v>03</v>
      </c>
      <c r="H91" s="25" t="str">
        <f t="shared" si="13"/>
        <v>0120</v>
      </c>
      <c r="I91" s="25" t="str">
        <f t="shared" si="14"/>
        <v/>
      </c>
      <c r="J91" s="25" t="str">
        <f t="shared" si="15"/>
        <v>r</v>
      </c>
      <c r="K91" s="25" t="str">
        <f t="shared" si="16"/>
        <v>01</v>
      </c>
      <c r="L91" s="25" t="str">
        <f t="shared" si="17"/>
        <v>F01T0010120</v>
      </c>
      <c r="M91" s="25" t="s">
        <v>691</v>
      </c>
    </row>
    <row r="92" spans="1:13" x14ac:dyDescent="0.25">
      <c r="A92" s="25">
        <v>81</v>
      </c>
      <c r="B92" s="25" t="s">
        <v>250</v>
      </c>
      <c r="C92" s="25" t="s">
        <v>27</v>
      </c>
      <c r="D92" s="25" t="s">
        <v>251</v>
      </c>
      <c r="E92" s="25" t="str">
        <f t="shared" si="10"/>
        <v>F01</v>
      </c>
      <c r="F92" s="25" t="str">
        <f t="shared" si="11"/>
        <v>T0</v>
      </c>
      <c r="G92" s="25" t="str">
        <f t="shared" si="12"/>
        <v>03</v>
      </c>
      <c r="H92" s="25" t="str">
        <f t="shared" si="13"/>
        <v>0130</v>
      </c>
      <c r="I92" s="25" t="str">
        <f t="shared" si="14"/>
        <v/>
      </c>
      <c r="J92" s="25" t="str">
        <f t="shared" si="15"/>
        <v>r</v>
      </c>
      <c r="K92" s="25" t="str">
        <f t="shared" si="16"/>
        <v>01</v>
      </c>
      <c r="L92" s="25" t="str">
        <f t="shared" si="17"/>
        <v>F01T0010130</v>
      </c>
      <c r="M92" s="25" t="s">
        <v>692</v>
      </c>
    </row>
    <row r="93" spans="1:13" x14ac:dyDescent="0.25">
      <c r="A93" s="25">
        <v>81</v>
      </c>
      <c r="B93" s="25" t="s">
        <v>252</v>
      </c>
      <c r="C93" s="25" t="s">
        <v>27</v>
      </c>
      <c r="D93" s="25" t="s">
        <v>253</v>
      </c>
      <c r="E93" s="25" t="str">
        <f t="shared" si="10"/>
        <v>F01</v>
      </c>
      <c r="F93" s="25" t="str">
        <f t="shared" si="11"/>
        <v>T0</v>
      </c>
      <c r="G93" s="25" t="str">
        <f t="shared" si="12"/>
        <v>03</v>
      </c>
      <c r="H93" s="25" t="str">
        <f t="shared" si="13"/>
        <v>0150</v>
      </c>
      <c r="I93" s="25" t="str">
        <f t="shared" si="14"/>
        <v/>
      </c>
      <c r="J93" s="25" t="str">
        <f t="shared" si="15"/>
        <v>r</v>
      </c>
      <c r="K93" s="25" t="str">
        <f t="shared" si="16"/>
        <v>01</v>
      </c>
      <c r="L93" s="25" t="str">
        <f t="shared" si="17"/>
        <v>F01T0010150</v>
      </c>
      <c r="M93" s="25" t="s">
        <v>693</v>
      </c>
    </row>
    <row r="94" spans="1:13" x14ac:dyDescent="0.25">
      <c r="A94" s="25">
        <v>81</v>
      </c>
      <c r="B94" s="25" t="s">
        <v>254</v>
      </c>
      <c r="C94" s="25" t="s">
        <v>27</v>
      </c>
      <c r="D94" s="25" t="s">
        <v>255</v>
      </c>
      <c r="E94" s="25" t="str">
        <f t="shared" si="10"/>
        <v>F01</v>
      </c>
      <c r="F94" s="25" t="str">
        <f t="shared" si="11"/>
        <v>T0</v>
      </c>
      <c r="G94" s="25" t="str">
        <f t="shared" si="12"/>
        <v>03</v>
      </c>
      <c r="H94" s="25" t="str">
        <f t="shared" si="13"/>
        <v>0200</v>
      </c>
      <c r="I94" s="25" t="str">
        <f t="shared" si="14"/>
        <v/>
      </c>
      <c r="J94" s="25" t="str">
        <f t="shared" si="15"/>
        <v>r</v>
      </c>
      <c r="K94" s="25" t="str">
        <f t="shared" si="16"/>
        <v>01</v>
      </c>
      <c r="L94" s="25" t="str">
        <f t="shared" si="17"/>
        <v>F01T0010200</v>
      </c>
      <c r="M94" s="25" t="s">
        <v>694</v>
      </c>
    </row>
    <row r="95" spans="1:13" x14ac:dyDescent="0.25">
      <c r="A95" s="25">
        <v>81</v>
      </c>
      <c r="B95" s="25" t="s">
        <v>256</v>
      </c>
      <c r="C95" s="25" t="s">
        <v>27</v>
      </c>
      <c r="D95" s="25" t="s">
        <v>257</v>
      </c>
      <c r="E95" s="25" t="str">
        <f t="shared" si="10"/>
        <v>F01</v>
      </c>
      <c r="F95" s="25" t="str">
        <f t="shared" si="11"/>
        <v>T0</v>
      </c>
      <c r="G95" s="25" t="str">
        <f t="shared" si="12"/>
        <v>03</v>
      </c>
      <c r="H95" s="25" t="str">
        <f t="shared" si="13"/>
        <v>0300</v>
      </c>
      <c r="I95" s="25" t="str">
        <f t="shared" si="14"/>
        <v/>
      </c>
      <c r="J95" s="25" t="str">
        <f t="shared" si="15"/>
        <v>r</v>
      </c>
      <c r="K95" s="25" t="str">
        <f t="shared" si="16"/>
        <v>01</v>
      </c>
      <c r="L95" s="25" t="str">
        <f t="shared" si="17"/>
        <v>F01T0010300</v>
      </c>
      <c r="M95" s="25" t="s">
        <v>695</v>
      </c>
    </row>
    <row r="96" spans="1:13" x14ac:dyDescent="0.25">
      <c r="A96" s="25">
        <v>81</v>
      </c>
      <c r="B96" s="25" t="s">
        <v>258</v>
      </c>
      <c r="C96" s="25" t="s">
        <v>27</v>
      </c>
      <c r="D96" s="25" t="s">
        <v>259</v>
      </c>
      <c r="E96" s="25" t="str">
        <f t="shared" si="10"/>
        <v>F01</v>
      </c>
      <c r="F96" s="25" t="str">
        <f t="shared" si="11"/>
        <v>T0</v>
      </c>
      <c r="G96" s="25" t="str">
        <f t="shared" si="12"/>
        <v>03</v>
      </c>
      <c r="H96" s="25" t="str">
        <f t="shared" si="13"/>
        <v>0500</v>
      </c>
      <c r="I96" s="25" t="str">
        <f t="shared" si="14"/>
        <v/>
      </c>
      <c r="J96" s="25" t="str">
        <f t="shared" si="15"/>
        <v>r</v>
      </c>
      <c r="K96" s="25" t="str">
        <f t="shared" si="16"/>
        <v>01</v>
      </c>
      <c r="L96" s="25" t="str">
        <f t="shared" si="17"/>
        <v>F01T0010500</v>
      </c>
      <c r="M96" s="25" t="s">
        <v>696</v>
      </c>
    </row>
    <row r="97" spans="1:13" x14ac:dyDescent="0.25">
      <c r="A97" s="25">
        <v>81</v>
      </c>
      <c r="B97" s="25" t="s">
        <v>260</v>
      </c>
      <c r="C97" s="25" t="s">
        <v>27</v>
      </c>
      <c r="D97" s="25" t="s">
        <v>261</v>
      </c>
      <c r="E97" s="25" t="str">
        <f t="shared" si="10"/>
        <v>F01</v>
      </c>
      <c r="F97" s="25" t="str">
        <f t="shared" si="11"/>
        <v>T0</v>
      </c>
      <c r="G97" s="25" t="str">
        <f t="shared" si="12"/>
        <v>04</v>
      </c>
      <c r="H97" s="25" t="str">
        <f t="shared" si="13"/>
        <v>0250</v>
      </c>
      <c r="I97" s="25" t="str">
        <f t="shared" si="14"/>
        <v/>
      </c>
      <c r="J97" s="25" t="str">
        <f t="shared" si="15"/>
        <v/>
      </c>
      <c r="K97" s="25" t="str">
        <f t="shared" si="16"/>
        <v>04</v>
      </c>
      <c r="L97" s="25" t="str">
        <f t="shared" si="17"/>
        <v>F01T0040250</v>
      </c>
      <c r="M97" s="25" t="s">
        <v>697</v>
      </c>
    </row>
    <row r="98" spans="1:13" x14ac:dyDescent="0.25">
      <c r="A98" s="25">
        <v>81</v>
      </c>
      <c r="B98" s="27" t="s">
        <v>264</v>
      </c>
      <c r="C98" s="27" t="s">
        <v>27</v>
      </c>
      <c r="D98" s="27" t="s">
        <v>265</v>
      </c>
      <c r="E98" s="25" t="str">
        <f t="shared" si="10"/>
        <v>F02</v>
      </c>
      <c r="F98" s="25" t="str">
        <f t="shared" si="11"/>
        <v>B0</v>
      </c>
      <c r="G98" s="25" t="str">
        <f t="shared" si="12"/>
        <v>02</v>
      </c>
      <c r="H98" s="25" t="str">
        <f t="shared" si="13"/>
        <v>0150</v>
      </c>
      <c r="I98" s="25" t="str">
        <f t="shared" si="14"/>
        <v/>
      </c>
      <c r="J98" s="25" t="str">
        <f t="shared" si="15"/>
        <v/>
      </c>
      <c r="K98" s="25" t="str">
        <f t="shared" si="16"/>
        <v>02</v>
      </c>
      <c r="L98" s="25" t="str">
        <f t="shared" si="17"/>
        <v>F02B0020150</v>
      </c>
      <c r="M98" s="25" t="s">
        <v>698</v>
      </c>
    </row>
    <row r="99" spans="1:13" x14ac:dyDescent="0.25">
      <c r="A99" s="25">
        <v>81</v>
      </c>
      <c r="B99" s="25" t="s">
        <v>266</v>
      </c>
      <c r="C99" s="25" t="s">
        <v>27</v>
      </c>
      <c r="D99" s="25" t="s">
        <v>267</v>
      </c>
      <c r="E99" s="25" t="str">
        <f t="shared" si="10"/>
        <v>F02</v>
      </c>
      <c r="F99" s="25" t="str">
        <f t="shared" si="11"/>
        <v>B0</v>
      </c>
      <c r="G99" s="25" t="str">
        <f t="shared" si="12"/>
        <v>03</v>
      </c>
      <c r="H99" s="25" t="str">
        <f t="shared" si="13"/>
        <v>0050</v>
      </c>
      <c r="I99" s="25" t="str">
        <f t="shared" si="14"/>
        <v/>
      </c>
      <c r="J99" s="25" t="str">
        <f t="shared" si="15"/>
        <v>r</v>
      </c>
      <c r="K99" s="25" t="str">
        <f t="shared" si="16"/>
        <v>01</v>
      </c>
      <c r="L99" s="25" t="str">
        <f t="shared" si="17"/>
        <v>F02B0010050</v>
      </c>
      <c r="M99" s="25" t="s">
        <v>699</v>
      </c>
    </row>
    <row r="100" spans="1:13" x14ac:dyDescent="0.25">
      <c r="A100" s="25">
        <v>81</v>
      </c>
      <c r="B100" s="25" t="s">
        <v>268</v>
      </c>
      <c r="C100" s="25" t="s">
        <v>27</v>
      </c>
      <c r="D100" s="25" t="s">
        <v>269</v>
      </c>
      <c r="E100" s="25" t="str">
        <f t="shared" si="10"/>
        <v>F02</v>
      </c>
      <c r="F100" s="25" t="str">
        <f t="shared" si="11"/>
        <v>B0</v>
      </c>
      <c r="G100" s="25" t="str">
        <f t="shared" si="12"/>
        <v>03</v>
      </c>
      <c r="H100" s="25" t="str">
        <f t="shared" si="13"/>
        <v>0060</v>
      </c>
      <c r="I100" s="25" t="str">
        <f t="shared" si="14"/>
        <v/>
      </c>
      <c r="J100" s="25" t="str">
        <f t="shared" si="15"/>
        <v>r</v>
      </c>
      <c r="K100" s="25" t="str">
        <f t="shared" si="16"/>
        <v>01</v>
      </c>
      <c r="L100" s="25" t="str">
        <f t="shared" si="17"/>
        <v>F02B0010060</v>
      </c>
      <c r="M100" s="25" t="s">
        <v>700</v>
      </c>
    </row>
    <row r="101" spans="1:13" x14ac:dyDescent="0.25">
      <c r="A101" s="25">
        <v>81</v>
      </c>
      <c r="B101" s="25" t="s">
        <v>270</v>
      </c>
      <c r="C101" s="25" t="s">
        <v>27</v>
      </c>
      <c r="D101" s="25" t="s">
        <v>271</v>
      </c>
      <c r="E101" s="25" t="str">
        <f t="shared" si="10"/>
        <v>F02</v>
      </c>
      <c r="F101" s="25" t="str">
        <f t="shared" si="11"/>
        <v>B0</v>
      </c>
      <c r="G101" s="25" t="str">
        <f t="shared" si="12"/>
        <v>03</v>
      </c>
      <c r="H101" s="25" t="str">
        <f t="shared" si="13"/>
        <v>0070</v>
      </c>
      <c r="I101" s="25" t="str">
        <f t="shared" si="14"/>
        <v/>
      </c>
      <c r="J101" s="25" t="str">
        <f t="shared" si="15"/>
        <v>r</v>
      </c>
      <c r="K101" s="25" t="str">
        <f t="shared" si="16"/>
        <v>01</v>
      </c>
      <c r="L101" s="25" t="str">
        <f t="shared" si="17"/>
        <v>F02B0010070</v>
      </c>
      <c r="M101" s="25" t="s">
        <v>701</v>
      </c>
    </row>
    <row r="102" spans="1:13" x14ac:dyDescent="0.25">
      <c r="A102" s="25">
        <v>81</v>
      </c>
      <c r="B102" s="25" t="s">
        <v>272</v>
      </c>
      <c r="C102" s="25" t="s">
        <v>27</v>
      </c>
      <c r="D102" s="25" t="s">
        <v>273</v>
      </c>
      <c r="E102" s="25" t="str">
        <f t="shared" si="10"/>
        <v>F02</v>
      </c>
      <c r="F102" s="25" t="str">
        <f t="shared" si="11"/>
        <v>B0</v>
      </c>
      <c r="G102" s="25" t="str">
        <f t="shared" si="12"/>
        <v>03</v>
      </c>
      <c r="H102" s="25" t="str">
        <f t="shared" si="13"/>
        <v>0080</v>
      </c>
      <c r="I102" s="25" t="str">
        <f t="shared" si="14"/>
        <v/>
      </c>
      <c r="J102" s="25" t="str">
        <f t="shared" si="15"/>
        <v>r</v>
      </c>
      <c r="K102" s="25" t="str">
        <f t="shared" si="16"/>
        <v>01</v>
      </c>
      <c r="L102" s="25" t="str">
        <f t="shared" si="17"/>
        <v>F02B0010080</v>
      </c>
      <c r="M102" s="25" t="s">
        <v>702</v>
      </c>
    </row>
    <row r="103" spans="1:13" x14ac:dyDescent="0.25">
      <c r="A103" s="25">
        <v>81</v>
      </c>
      <c r="B103" s="25" t="s">
        <v>274</v>
      </c>
      <c r="C103" s="25" t="s">
        <v>27</v>
      </c>
      <c r="D103" s="25" t="s">
        <v>275</v>
      </c>
      <c r="E103" s="25" t="str">
        <f t="shared" si="10"/>
        <v>F02</v>
      </c>
      <c r="F103" s="25" t="str">
        <f t="shared" si="11"/>
        <v>B0</v>
      </c>
      <c r="G103" s="25" t="str">
        <f t="shared" si="12"/>
        <v>03</v>
      </c>
      <c r="H103" s="25" t="str">
        <f t="shared" si="13"/>
        <v>0100</v>
      </c>
      <c r="I103" s="25" t="str">
        <f t="shared" si="14"/>
        <v/>
      </c>
      <c r="J103" s="25" t="str">
        <f t="shared" si="15"/>
        <v>r</v>
      </c>
      <c r="K103" s="25" t="str">
        <f t="shared" si="16"/>
        <v>01</v>
      </c>
      <c r="L103" s="25" t="str">
        <f t="shared" si="17"/>
        <v>F02B0010100</v>
      </c>
      <c r="M103" s="25" t="s">
        <v>703</v>
      </c>
    </row>
    <row r="104" spans="1:13" x14ac:dyDescent="0.25">
      <c r="A104" s="25">
        <v>81</v>
      </c>
      <c r="B104" s="25" t="s">
        <v>276</v>
      </c>
      <c r="C104" s="25" t="s">
        <v>27</v>
      </c>
      <c r="D104" s="25" t="s">
        <v>277</v>
      </c>
      <c r="E104" s="25" t="str">
        <f t="shared" si="10"/>
        <v>F02</v>
      </c>
      <c r="F104" s="25" t="str">
        <f t="shared" si="11"/>
        <v>B0</v>
      </c>
      <c r="G104" s="25" t="str">
        <f t="shared" si="12"/>
        <v>03</v>
      </c>
      <c r="H104" s="25" t="str">
        <f t="shared" si="13"/>
        <v>0120</v>
      </c>
      <c r="I104" s="25" t="str">
        <f t="shared" si="14"/>
        <v/>
      </c>
      <c r="J104" s="25" t="str">
        <f t="shared" si="15"/>
        <v>r</v>
      </c>
      <c r="K104" s="25" t="str">
        <f t="shared" si="16"/>
        <v>01</v>
      </c>
      <c r="L104" s="25" t="str">
        <f t="shared" si="17"/>
        <v>F02B0010120</v>
      </c>
      <c r="M104" s="25" t="s">
        <v>704</v>
      </c>
    </row>
    <row r="105" spans="1:13" x14ac:dyDescent="0.25">
      <c r="A105" s="25">
        <v>81</v>
      </c>
      <c r="B105" s="25" t="s">
        <v>278</v>
      </c>
      <c r="C105" s="25" t="s">
        <v>27</v>
      </c>
      <c r="D105" s="25" t="s">
        <v>279</v>
      </c>
      <c r="E105" s="25" t="str">
        <f t="shared" si="10"/>
        <v>F02</v>
      </c>
      <c r="F105" s="25" t="str">
        <f t="shared" si="11"/>
        <v>B0</v>
      </c>
      <c r="G105" s="25" t="str">
        <f t="shared" si="12"/>
        <v>03</v>
      </c>
      <c r="H105" s="25" t="str">
        <f t="shared" si="13"/>
        <v>0130</v>
      </c>
      <c r="I105" s="25" t="str">
        <f t="shared" si="14"/>
        <v/>
      </c>
      <c r="J105" s="25" t="str">
        <f t="shared" si="15"/>
        <v>r</v>
      </c>
      <c r="K105" s="25" t="str">
        <f t="shared" si="16"/>
        <v>01</v>
      </c>
      <c r="L105" s="25" t="str">
        <f t="shared" si="17"/>
        <v>F02B0010130</v>
      </c>
      <c r="M105" s="25" t="s">
        <v>705</v>
      </c>
    </row>
    <row r="106" spans="1:13" x14ac:dyDescent="0.25">
      <c r="A106" s="25">
        <v>81</v>
      </c>
      <c r="B106" s="25" t="s">
        <v>280</v>
      </c>
      <c r="C106" s="25" t="s">
        <v>27</v>
      </c>
      <c r="D106" s="25" t="s">
        <v>281</v>
      </c>
      <c r="E106" s="25" t="str">
        <f t="shared" si="10"/>
        <v>F02</v>
      </c>
      <c r="F106" s="25" t="str">
        <f t="shared" si="11"/>
        <v>B0</v>
      </c>
      <c r="G106" s="25" t="str">
        <f t="shared" si="12"/>
        <v>03</v>
      </c>
      <c r="H106" s="25" t="str">
        <f t="shared" si="13"/>
        <v>0150</v>
      </c>
      <c r="I106" s="25" t="str">
        <f t="shared" si="14"/>
        <v/>
      </c>
      <c r="J106" s="25" t="str">
        <f t="shared" si="15"/>
        <v>r</v>
      </c>
      <c r="K106" s="25" t="str">
        <f t="shared" si="16"/>
        <v>01</v>
      </c>
      <c r="L106" s="25" t="str">
        <f t="shared" si="17"/>
        <v>F02B0010150</v>
      </c>
      <c r="M106" s="25" t="s">
        <v>706</v>
      </c>
    </row>
    <row r="107" spans="1:13" x14ac:dyDescent="0.25">
      <c r="A107" s="25">
        <v>81</v>
      </c>
      <c r="B107" s="25" t="s">
        <v>282</v>
      </c>
      <c r="C107" s="25" t="s">
        <v>27</v>
      </c>
      <c r="D107" s="25" t="s">
        <v>283</v>
      </c>
      <c r="E107" s="25" t="str">
        <f t="shared" si="10"/>
        <v>F02</v>
      </c>
      <c r="F107" s="25" t="str">
        <f t="shared" si="11"/>
        <v>B0</v>
      </c>
      <c r="G107" s="25" t="str">
        <f t="shared" si="12"/>
        <v>03</v>
      </c>
      <c r="H107" s="25" t="str">
        <f t="shared" si="13"/>
        <v>0200</v>
      </c>
      <c r="I107" s="25" t="str">
        <f t="shared" si="14"/>
        <v/>
      </c>
      <c r="J107" s="25" t="str">
        <f t="shared" si="15"/>
        <v>r</v>
      </c>
      <c r="K107" s="25" t="str">
        <f t="shared" si="16"/>
        <v>01</v>
      </c>
      <c r="L107" s="25" t="str">
        <f t="shared" si="17"/>
        <v>F02B0010200</v>
      </c>
      <c r="M107" s="25" t="s">
        <v>707</v>
      </c>
    </row>
    <row r="108" spans="1:13" x14ac:dyDescent="0.25">
      <c r="A108" s="25">
        <v>81</v>
      </c>
      <c r="B108" s="25" t="s">
        <v>284</v>
      </c>
      <c r="C108" s="25" t="s">
        <v>27</v>
      </c>
      <c r="D108" s="25" t="s">
        <v>285</v>
      </c>
      <c r="E108" s="25" t="str">
        <f t="shared" si="10"/>
        <v>F02</v>
      </c>
      <c r="F108" s="25" t="str">
        <f t="shared" si="11"/>
        <v>B0</v>
      </c>
      <c r="G108" s="25" t="str">
        <f t="shared" si="12"/>
        <v>03</v>
      </c>
      <c r="H108" s="25" t="str">
        <f t="shared" si="13"/>
        <v>0500</v>
      </c>
      <c r="I108" s="25" t="str">
        <f t="shared" si="14"/>
        <v/>
      </c>
      <c r="J108" s="25" t="str">
        <f t="shared" si="15"/>
        <v>r</v>
      </c>
      <c r="K108" s="25" t="str">
        <f t="shared" si="16"/>
        <v>01</v>
      </c>
      <c r="L108" s="25" t="str">
        <f t="shared" si="17"/>
        <v>F02B0010500</v>
      </c>
      <c r="M108" s="25" t="s">
        <v>708</v>
      </c>
    </row>
    <row r="109" spans="1:13" x14ac:dyDescent="0.25">
      <c r="A109" s="25">
        <v>81</v>
      </c>
      <c r="B109" s="25" t="s">
        <v>286</v>
      </c>
      <c r="C109" s="25" t="s">
        <v>27</v>
      </c>
      <c r="D109" s="25" t="s">
        <v>287</v>
      </c>
      <c r="E109" s="25" t="str">
        <f t="shared" si="10"/>
        <v>F02</v>
      </c>
      <c r="F109" s="25" t="str">
        <f t="shared" si="11"/>
        <v>DN</v>
      </c>
      <c r="G109" s="25" t="str">
        <f t="shared" si="12"/>
        <v>01</v>
      </c>
      <c r="H109" s="25" t="str">
        <f t="shared" si="13"/>
        <v>0025</v>
      </c>
      <c r="I109" s="25" t="str">
        <f t="shared" si="14"/>
        <v/>
      </c>
      <c r="J109" s="25" t="str">
        <f t="shared" si="15"/>
        <v/>
      </c>
      <c r="K109" s="25" t="str">
        <f t="shared" si="16"/>
        <v>01</v>
      </c>
      <c r="L109" s="25" t="str">
        <f t="shared" si="17"/>
        <v>F02DN010025</v>
      </c>
      <c r="M109" s="25" t="s">
        <v>709</v>
      </c>
    </row>
    <row r="110" spans="1:13" x14ac:dyDescent="0.25">
      <c r="A110" s="25">
        <v>81</v>
      </c>
      <c r="B110" s="25" t="s">
        <v>288</v>
      </c>
      <c r="C110" s="25" t="s">
        <v>27</v>
      </c>
      <c r="D110" s="25" t="s">
        <v>289</v>
      </c>
      <c r="E110" s="25" t="str">
        <f t="shared" si="10"/>
        <v>F02</v>
      </c>
      <c r="F110" s="25" t="str">
        <f t="shared" si="11"/>
        <v>DN</v>
      </c>
      <c r="G110" s="25" t="str">
        <f t="shared" si="12"/>
        <v>01</v>
      </c>
      <c r="H110" s="25" t="str">
        <f t="shared" si="13"/>
        <v>0250</v>
      </c>
      <c r="I110" s="25" t="str">
        <f t="shared" si="14"/>
        <v/>
      </c>
      <c r="J110" s="25" t="str">
        <f t="shared" si="15"/>
        <v/>
      </c>
      <c r="K110" s="25" t="str">
        <f t="shared" si="16"/>
        <v>01</v>
      </c>
      <c r="L110" s="25" t="str">
        <f t="shared" si="17"/>
        <v>F02DN010250</v>
      </c>
      <c r="M110" s="25" t="s">
        <v>710</v>
      </c>
    </row>
    <row r="111" spans="1:13" x14ac:dyDescent="0.25">
      <c r="A111" s="25">
        <v>81</v>
      </c>
      <c r="B111" s="25" t="s">
        <v>290</v>
      </c>
      <c r="C111" s="25" t="s">
        <v>27</v>
      </c>
      <c r="D111" s="25" t="s">
        <v>291</v>
      </c>
      <c r="E111" s="25" t="str">
        <f t="shared" si="10"/>
        <v>F02</v>
      </c>
      <c r="F111" s="25" t="str">
        <f t="shared" si="11"/>
        <v>DN</v>
      </c>
      <c r="G111" s="25" t="str">
        <f t="shared" si="12"/>
        <v>01</v>
      </c>
      <c r="H111" s="25" t="str">
        <f t="shared" si="13"/>
        <v>0300</v>
      </c>
      <c r="I111" s="25" t="str">
        <f t="shared" si="14"/>
        <v/>
      </c>
      <c r="J111" s="25" t="str">
        <f t="shared" si="15"/>
        <v/>
      </c>
      <c r="K111" s="25" t="str">
        <f t="shared" si="16"/>
        <v>01</v>
      </c>
      <c r="L111" s="25" t="str">
        <f t="shared" si="17"/>
        <v>F02DN010300</v>
      </c>
      <c r="M111" s="25" t="s">
        <v>711</v>
      </c>
    </row>
    <row r="112" spans="1:13" x14ac:dyDescent="0.25">
      <c r="A112" s="25">
        <v>81</v>
      </c>
      <c r="B112" s="25" t="s">
        <v>292</v>
      </c>
      <c r="C112" s="25" t="s">
        <v>27</v>
      </c>
      <c r="D112" s="25" t="s">
        <v>293</v>
      </c>
      <c r="E112" s="25" t="str">
        <f t="shared" si="10"/>
        <v>F02</v>
      </c>
      <c r="F112" s="25" t="str">
        <f t="shared" si="11"/>
        <v>DN</v>
      </c>
      <c r="G112" s="25" t="str">
        <f t="shared" si="12"/>
        <v>02</v>
      </c>
      <c r="H112" s="25" t="str">
        <f t="shared" si="13"/>
        <v>0030</v>
      </c>
      <c r="I112" s="25" t="str">
        <f t="shared" si="14"/>
        <v/>
      </c>
      <c r="J112" s="25" t="str">
        <f t="shared" si="15"/>
        <v/>
      </c>
      <c r="K112" s="25" t="str">
        <f t="shared" si="16"/>
        <v>02</v>
      </c>
      <c r="L112" s="25" t="str">
        <f t="shared" si="17"/>
        <v>F02DN020030</v>
      </c>
      <c r="M112" s="25" t="s">
        <v>712</v>
      </c>
    </row>
    <row r="113" spans="1:13" x14ac:dyDescent="0.25">
      <c r="A113" s="25">
        <v>81</v>
      </c>
      <c r="B113" s="25" t="s">
        <v>294</v>
      </c>
      <c r="C113" s="25" t="s">
        <v>27</v>
      </c>
      <c r="D113" s="25" t="s">
        <v>295</v>
      </c>
      <c r="E113" s="25" t="str">
        <f t="shared" si="10"/>
        <v>F02</v>
      </c>
      <c r="F113" s="25" t="str">
        <f t="shared" si="11"/>
        <v>DN</v>
      </c>
      <c r="G113" s="25" t="str">
        <f t="shared" si="12"/>
        <v>02</v>
      </c>
      <c r="H113" s="25" t="str">
        <f t="shared" si="13"/>
        <v>0100</v>
      </c>
      <c r="I113" s="25" t="str">
        <f t="shared" si="14"/>
        <v/>
      </c>
      <c r="J113" s="25" t="str">
        <f t="shared" si="15"/>
        <v/>
      </c>
      <c r="K113" s="25" t="str">
        <f t="shared" si="16"/>
        <v>02</v>
      </c>
      <c r="L113" s="25" t="str">
        <f t="shared" si="17"/>
        <v>F02DN020100</v>
      </c>
      <c r="M113" s="25" t="s">
        <v>713</v>
      </c>
    </row>
    <row r="114" spans="1:13" x14ac:dyDescent="0.25">
      <c r="A114" s="25">
        <v>81</v>
      </c>
      <c r="B114" s="25" t="s">
        <v>296</v>
      </c>
      <c r="C114" s="25" t="s">
        <v>27</v>
      </c>
      <c r="D114" s="25" t="s">
        <v>297</v>
      </c>
      <c r="E114" s="25" t="str">
        <f t="shared" si="10"/>
        <v>F02</v>
      </c>
      <c r="F114" s="25" t="str">
        <f t="shared" si="11"/>
        <v>DN</v>
      </c>
      <c r="G114" s="25" t="str">
        <f t="shared" si="12"/>
        <v>02</v>
      </c>
      <c r="H114" s="25" t="str">
        <f t="shared" si="13"/>
        <v>0150</v>
      </c>
      <c r="I114" s="25" t="str">
        <f t="shared" si="14"/>
        <v/>
      </c>
      <c r="J114" s="25" t="str">
        <f t="shared" si="15"/>
        <v/>
      </c>
      <c r="K114" s="25" t="str">
        <f t="shared" si="16"/>
        <v>02</v>
      </c>
      <c r="L114" s="25" t="str">
        <f t="shared" si="17"/>
        <v>F02DN020150</v>
      </c>
      <c r="M114" s="25" t="s">
        <v>714</v>
      </c>
    </row>
    <row r="115" spans="1:13" x14ac:dyDescent="0.25">
      <c r="A115" s="25">
        <v>81</v>
      </c>
      <c r="B115" s="25" t="s">
        <v>298</v>
      </c>
      <c r="C115" s="25" t="s">
        <v>27</v>
      </c>
      <c r="D115" s="25" t="s">
        <v>299</v>
      </c>
      <c r="E115" s="25" t="str">
        <f t="shared" si="10"/>
        <v>F02</v>
      </c>
      <c r="F115" s="25" t="str">
        <f t="shared" si="11"/>
        <v>DN</v>
      </c>
      <c r="G115" s="25" t="str">
        <f t="shared" si="12"/>
        <v>02</v>
      </c>
      <c r="H115" s="25" t="str">
        <f t="shared" si="13"/>
        <v>0200</v>
      </c>
      <c r="I115" s="25" t="str">
        <f t="shared" si="14"/>
        <v/>
      </c>
      <c r="J115" s="25" t="str">
        <f t="shared" si="15"/>
        <v/>
      </c>
      <c r="K115" s="25" t="str">
        <f t="shared" si="16"/>
        <v>02</v>
      </c>
      <c r="L115" s="25" t="str">
        <f t="shared" si="17"/>
        <v>F02DN020200</v>
      </c>
      <c r="M115" s="25" t="s">
        <v>715</v>
      </c>
    </row>
    <row r="116" spans="1:13" x14ac:dyDescent="0.25">
      <c r="A116" s="25">
        <v>81</v>
      </c>
      <c r="B116" s="25" t="s">
        <v>300</v>
      </c>
      <c r="C116" s="25" t="s">
        <v>27</v>
      </c>
      <c r="D116" s="25" t="s">
        <v>301</v>
      </c>
      <c r="E116" s="25" t="str">
        <f t="shared" si="10"/>
        <v>F02</v>
      </c>
      <c r="F116" s="25" t="str">
        <f t="shared" si="11"/>
        <v>DN</v>
      </c>
      <c r="G116" s="25" t="str">
        <f t="shared" si="12"/>
        <v>02</v>
      </c>
      <c r="H116" s="25" t="str">
        <f t="shared" si="13"/>
        <v>0250</v>
      </c>
      <c r="I116" s="25" t="str">
        <f t="shared" si="14"/>
        <v/>
      </c>
      <c r="J116" s="25" t="str">
        <f t="shared" si="15"/>
        <v/>
      </c>
      <c r="K116" s="25" t="str">
        <f t="shared" si="16"/>
        <v>02</v>
      </c>
      <c r="L116" s="25" t="str">
        <f t="shared" si="17"/>
        <v>F02DN020250</v>
      </c>
      <c r="M116" s="25" t="s">
        <v>716</v>
      </c>
    </row>
    <row r="117" spans="1:13" x14ac:dyDescent="0.25">
      <c r="A117" s="25">
        <v>81</v>
      </c>
      <c r="B117" s="25" t="s">
        <v>302</v>
      </c>
      <c r="C117" s="25" t="s">
        <v>27</v>
      </c>
      <c r="D117" s="25" t="s">
        <v>303</v>
      </c>
      <c r="E117" s="25" t="str">
        <f t="shared" si="10"/>
        <v>F02</v>
      </c>
      <c r="F117" s="25" t="str">
        <f t="shared" si="11"/>
        <v>DN</v>
      </c>
      <c r="G117" s="25" t="str">
        <f t="shared" si="12"/>
        <v>02</v>
      </c>
      <c r="H117" s="25" t="str">
        <f t="shared" si="13"/>
        <v>0350</v>
      </c>
      <c r="I117" s="25" t="str">
        <f t="shared" si="14"/>
        <v/>
      </c>
      <c r="J117" s="25" t="str">
        <f t="shared" si="15"/>
        <v/>
      </c>
      <c r="K117" s="25" t="str">
        <f t="shared" si="16"/>
        <v>02</v>
      </c>
      <c r="L117" s="25" t="str">
        <f t="shared" si="17"/>
        <v>F02DN020350</v>
      </c>
      <c r="M117" s="25" t="s">
        <v>717</v>
      </c>
    </row>
    <row r="118" spans="1:13" x14ac:dyDescent="0.25">
      <c r="A118" s="25">
        <v>81</v>
      </c>
      <c r="B118" s="25" t="s">
        <v>304</v>
      </c>
      <c r="C118" s="25" t="s">
        <v>27</v>
      </c>
      <c r="D118" s="25" t="s">
        <v>305</v>
      </c>
      <c r="E118" s="25" t="str">
        <f t="shared" si="10"/>
        <v>F02</v>
      </c>
      <c r="F118" s="25" t="str">
        <f t="shared" si="11"/>
        <v>DN</v>
      </c>
      <c r="G118" s="25" t="str">
        <f t="shared" si="12"/>
        <v>02</v>
      </c>
      <c r="H118" s="25" t="str">
        <f t="shared" si="13"/>
        <v>0500</v>
      </c>
      <c r="I118" s="25" t="str">
        <f t="shared" si="14"/>
        <v/>
      </c>
      <c r="J118" s="25" t="str">
        <f t="shared" si="15"/>
        <v/>
      </c>
      <c r="K118" s="25" t="str">
        <f t="shared" si="16"/>
        <v>02</v>
      </c>
      <c r="L118" s="25" t="str">
        <f t="shared" si="17"/>
        <v>F02DN020500</v>
      </c>
      <c r="M118" s="25" t="s">
        <v>718</v>
      </c>
    </row>
    <row r="119" spans="1:13" x14ac:dyDescent="0.25">
      <c r="A119" s="25">
        <v>81</v>
      </c>
      <c r="B119" s="25" t="s">
        <v>306</v>
      </c>
      <c r="C119" s="25" t="s">
        <v>27</v>
      </c>
      <c r="D119" s="25" t="s">
        <v>307</v>
      </c>
      <c r="E119" s="25" t="str">
        <f t="shared" si="10"/>
        <v>F02</v>
      </c>
      <c r="F119" s="25" t="str">
        <f t="shared" si="11"/>
        <v>DN</v>
      </c>
      <c r="G119" s="25" t="str">
        <f t="shared" si="12"/>
        <v>02</v>
      </c>
      <c r="H119" s="25" t="str">
        <f t="shared" si="13"/>
        <v>1000</v>
      </c>
      <c r="I119" s="25" t="str">
        <f t="shared" si="14"/>
        <v/>
      </c>
      <c r="J119" s="25" t="str">
        <f t="shared" si="15"/>
        <v/>
      </c>
      <c r="K119" s="25" t="str">
        <f t="shared" si="16"/>
        <v>02</v>
      </c>
      <c r="L119" s="25" t="str">
        <f t="shared" si="17"/>
        <v>F02DN021000</v>
      </c>
      <c r="M119" s="25" t="s">
        <v>719</v>
      </c>
    </row>
    <row r="120" spans="1:13" x14ac:dyDescent="0.25">
      <c r="A120" s="25">
        <v>81</v>
      </c>
      <c r="B120" s="25" t="s">
        <v>308</v>
      </c>
      <c r="C120" s="25" t="s">
        <v>27</v>
      </c>
      <c r="D120" s="25" t="s">
        <v>309</v>
      </c>
      <c r="E120" s="25" t="str">
        <f t="shared" si="10"/>
        <v>F02</v>
      </c>
      <c r="F120" s="25" t="str">
        <f t="shared" si="11"/>
        <v>DN</v>
      </c>
      <c r="G120" s="25" t="str">
        <f t="shared" si="12"/>
        <v>02</v>
      </c>
      <c r="H120" s="25" t="str">
        <f t="shared" si="13"/>
        <v>2000</v>
      </c>
      <c r="I120" s="25" t="str">
        <f t="shared" si="14"/>
        <v/>
      </c>
      <c r="J120" s="25" t="str">
        <f t="shared" si="15"/>
        <v/>
      </c>
      <c r="K120" s="25" t="str">
        <f t="shared" si="16"/>
        <v>02</v>
      </c>
      <c r="L120" s="25" t="str">
        <f t="shared" si="17"/>
        <v>F02DN022000</v>
      </c>
      <c r="M120" s="25" t="s">
        <v>720</v>
      </c>
    </row>
    <row r="121" spans="1:13" x14ac:dyDescent="0.25">
      <c r="A121" s="25">
        <v>81</v>
      </c>
      <c r="B121" s="25" t="s">
        <v>310</v>
      </c>
      <c r="C121" s="25" t="s">
        <v>27</v>
      </c>
      <c r="D121" s="25" t="s">
        <v>311</v>
      </c>
      <c r="E121" s="25" t="str">
        <f t="shared" si="10"/>
        <v>F02</v>
      </c>
      <c r="F121" s="25" t="str">
        <f t="shared" si="11"/>
        <v>DN</v>
      </c>
      <c r="G121" s="25" t="str">
        <f t="shared" si="12"/>
        <v>03</v>
      </c>
      <c r="H121" s="25" t="str">
        <f t="shared" si="13"/>
        <v>0025</v>
      </c>
      <c r="I121" s="25" t="str">
        <f t="shared" si="14"/>
        <v/>
      </c>
      <c r="J121" s="25" t="str">
        <f t="shared" si="15"/>
        <v>r</v>
      </c>
      <c r="K121" s="25" t="str">
        <f t="shared" si="16"/>
        <v>01</v>
      </c>
      <c r="L121" s="25" t="str">
        <f t="shared" si="17"/>
        <v>F02DN010025</v>
      </c>
      <c r="M121" s="25" t="s">
        <v>721</v>
      </c>
    </row>
    <row r="122" spans="1:13" x14ac:dyDescent="0.25">
      <c r="A122" s="25">
        <v>81</v>
      </c>
      <c r="B122" s="25" t="s">
        <v>312</v>
      </c>
      <c r="C122" s="25" t="s">
        <v>27</v>
      </c>
      <c r="D122" s="25" t="s">
        <v>313</v>
      </c>
      <c r="E122" s="25" t="str">
        <f t="shared" si="10"/>
        <v>F02</v>
      </c>
      <c r="F122" s="25" t="str">
        <f t="shared" si="11"/>
        <v>DN</v>
      </c>
      <c r="G122" s="25" t="str">
        <f t="shared" si="12"/>
        <v>03</v>
      </c>
      <c r="H122" s="25" t="str">
        <f t="shared" si="13"/>
        <v>0050</v>
      </c>
      <c r="I122" s="25" t="str">
        <f t="shared" si="14"/>
        <v/>
      </c>
      <c r="J122" s="25" t="str">
        <f t="shared" si="15"/>
        <v>r</v>
      </c>
      <c r="K122" s="25" t="str">
        <f t="shared" si="16"/>
        <v>01</v>
      </c>
      <c r="L122" s="25" t="str">
        <f t="shared" si="17"/>
        <v>F02DN010050</v>
      </c>
      <c r="M122" s="25" t="s">
        <v>722</v>
      </c>
    </row>
    <row r="123" spans="1:13" x14ac:dyDescent="0.25">
      <c r="A123" s="25">
        <v>81</v>
      </c>
      <c r="B123" s="25" t="s">
        <v>314</v>
      </c>
      <c r="C123" s="25" t="s">
        <v>27</v>
      </c>
      <c r="D123" s="25" t="s">
        <v>315</v>
      </c>
      <c r="E123" s="25" t="str">
        <f t="shared" si="10"/>
        <v>F02</v>
      </c>
      <c r="F123" s="25" t="str">
        <f t="shared" si="11"/>
        <v>DN</v>
      </c>
      <c r="G123" s="25" t="str">
        <f t="shared" si="12"/>
        <v>03</v>
      </c>
      <c r="H123" s="25" t="str">
        <f t="shared" si="13"/>
        <v>0100</v>
      </c>
      <c r="I123" s="25" t="str">
        <f t="shared" si="14"/>
        <v/>
      </c>
      <c r="J123" s="25" t="str">
        <f t="shared" si="15"/>
        <v>r</v>
      </c>
      <c r="K123" s="25" t="str">
        <f t="shared" si="16"/>
        <v>01</v>
      </c>
      <c r="L123" s="25" t="str">
        <f t="shared" si="17"/>
        <v>F02DN010100</v>
      </c>
      <c r="M123" s="25" t="s">
        <v>723</v>
      </c>
    </row>
    <row r="124" spans="1:13" x14ac:dyDescent="0.25">
      <c r="A124" s="25">
        <v>81</v>
      </c>
      <c r="B124" s="25" t="s">
        <v>316</v>
      </c>
      <c r="C124" s="25" t="s">
        <v>27</v>
      </c>
      <c r="D124" s="25" t="s">
        <v>317</v>
      </c>
      <c r="E124" s="25" t="str">
        <f t="shared" si="10"/>
        <v>F02</v>
      </c>
      <c r="F124" s="25" t="str">
        <f t="shared" si="11"/>
        <v>DN</v>
      </c>
      <c r="G124" s="25" t="str">
        <f t="shared" si="12"/>
        <v>03</v>
      </c>
      <c r="H124" s="25" t="str">
        <f t="shared" si="13"/>
        <v>0120</v>
      </c>
      <c r="I124" s="25" t="str">
        <f t="shared" si="14"/>
        <v/>
      </c>
      <c r="J124" s="25" t="str">
        <f t="shared" si="15"/>
        <v>r</v>
      </c>
      <c r="K124" s="25" t="str">
        <f t="shared" si="16"/>
        <v>01</v>
      </c>
      <c r="L124" s="25" t="str">
        <f t="shared" si="17"/>
        <v>F02DN010120</v>
      </c>
      <c r="M124" s="25" t="s">
        <v>724</v>
      </c>
    </row>
    <row r="125" spans="1:13" x14ac:dyDescent="0.25">
      <c r="A125" s="25">
        <v>81</v>
      </c>
      <c r="B125" s="25" t="s">
        <v>318</v>
      </c>
      <c r="C125" s="25" t="s">
        <v>27</v>
      </c>
      <c r="D125" s="25" t="s">
        <v>319</v>
      </c>
      <c r="E125" s="25" t="str">
        <f t="shared" si="10"/>
        <v>F02</v>
      </c>
      <c r="F125" s="25" t="str">
        <f t="shared" si="11"/>
        <v>DN</v>
      </c>
      <c r="G125" s="25" t="str">
        <f t="shared" si="12"/>
        <v>03</v>
      </c>
      <c r="H125" s="25" t="str">
        <f t="shared" si="13"/>
        <v>0150</v>
      </c>
      <c r="I125" s="25" t="str">
        <f t="shared" si="14"/>
        <v/>
      </c>
      <c r="J125" s="25" t="str">
        <f t="shared" si="15"/>
        <v>r</v>
      </c>
      <c r="K125" s="25" t="str">
        <f t="shared" si="16"/>
        <v>01</v>
      </c>
      <c r="L125" s="25" t="str">
        <f t="shared" si="17"/>
        <v>F02DN010150</v>
      </c>
      <c r="M125" s="25" t="s">
        <v>725</v>
      </c>
    </row>
    <row r="126" spans="1:13" x14ac:dyDescent="0.25">
      <c r="A126" s="25">
        <v>81</v>
      </c>
      <c r="B126" s="25" t="s">
        <v>320</v>
      </c>
      <c r="C126" s="25" t="s">
        <v>27</v>
      </c>
      <c r="D126" s="25" t="s">
        <v>321</v>
      </c>
      <c r="E126" s="25" t="str">
        <f t="shared" si="10"/>
        <v>F02</v>
      </c>
      <c r="F126" s="25" t="str">
        <f t="shared" si="11"/>
        <v>DN</v>
      </c>
      <c r="G126" s="25" t="str">
        <f t="shared" si="12"/>
        <v>03</v>
      </c>
      <c r="H126" s="25" t="str">
        <f t="shared" si="13"/>
        <v>0200</v>
      </c>
      <c r="I126" s="25" t="str">
        <f t="shared" si="14"/>
        <v/>
      </c>
      <c r="J126" s="25" t="str">
        <f t="shared" si="15"/>
        <v>r</v>
      </c>
      <c r="K126" s="25" t="str">
        <f t="shared" si="16"/>
        <v>01</v>
      </c>
      <c r="L126" s="25" t="str">
        <f t="shared" si="17"/>
        <v>F02DN010200</v>
      </c>
      <c r="M126" s="25" t="s">
        <v>726</v>
      </c>
    </row>
    <row r="127" spans="1:13" x14ac:dyDescent="0.25">
      <c r="A127" s="25">
        <v>81</v>
      </c>
      <c r="B127" s="25" t="s">
        <v>322</v>
      </c>
      <c r="C127" s="25" t="s">
        <v>27</v>
      </c>
      <c r="D127" s="25" t="s">
        <v>323</v>
      </c>
      <c r="E127" s="25" t="str">
        <f t="shared" si="10"/>
        <v>F02</v>
      </c>
      <c r="F127" s="25" t="str">
        <f t="shared" si="11"/>
        <v>DN</v>
      </c>
      <c r="G127" s="25" t="str">
        <f t="shared" si="12"/>
        <v>03</v>
      </c>
      <c r="H127" s="25" t="str">
        <f t="shared" si="13"/>
        <v>0250</v>
      </c>
      <c r="I127" s="25" t="str">
        <f t="shared" si="14"/>
        <v/>
      </c>
      <c r="J127" s="25" t="str">
        <f t="shared" si="15"/>
        <v>r</v>
      </c>
      <c r="K127" s="25" t="str">
        <f t="shared" si="16"/>
        <v>01</v>
      </c>
      <c r="L127" s="25" t="str">
        <f t="shared" si="17"/>
        <v>F02DN010250</v>
      </c>
      <c r="M127" s="25" t="s">
        <v>727</v>
      </c>
    </row>
    <row r="128" spans="1:13" x14ac:dyDescent="0.25">
      <c r="A128" s="25">
        <v>81</v>
      </c>
      <c r="B128" s="25" t="s">
        <v>324</v>
      </c>
      <c r="C128" s="25" t="s">
        <v>27</v>
      </c>
      <c r="D128" s="25" t="s">
        <v>325</v>
      </c>
      <c r="E128" s="25" t="str">
        <f t="shared" si="10"/>
        <v>F02</v>
      </c>
      <c r="F128" s="25" t="str">
        <f t="shared" si="11"/>
        <v>DN</v>
      </c>
      <c r="G128" s="25" t="str">
        <f t="shared" si="12"/>
        <v>03</v>
      </c>
      <c r="H128" s="25" t="str">
        <f t="shared" si="13"/>
        <v>0300</v>
      </c>
      <c r="I128" s="25" t="str">
        <f t="shared" si="14"/>
        <v/>
      </c>
      <c r="J128" s="25" t="str">
        <f t="shared" si="15"/>
        <v>r</v>
      </c>
      <c r="K128" s="25" t="str">
        <f t="shared" si="16"/>
        <v>01</v>
      </c>
      <c r="L128" s="25" t="str">
        <f t="shared" si="17"/>
        <v>F02DN010300</v>
      </c>
      <c r="M128" s="25" t="s">
        <v>728</v>
      </c>
    </row>
    <row r="129" spans="1:13" x14ac:dyDescent="0.25">
      <c r="A129" s="25">
        <v>81</v>
      </c>
      <c r="B129" s="25" t="s">
        <v>326</v>
      </c>
      <c r="C129" s="25" t="s">
        <v>27</v>
      </c>
      <c r="D129" s="25" t="s">
        <v>327</v>
      </c>
      <c r="E129" s="25" t="str">
        <f t="shared" si="10"/>
        <v>F02</v>
      </c>
      <c r="F129" s="25" t="str">
        <f t="shared" si="11"/>
        <v>DN</v>
      </c>
      <c r="G129" s="25" t="str">
        <f t="shared" si="12"/>
        <v>03</v>
      </c>
      <c r="H129" s="25" t="str">
        <f t="shared" si="13"/>
        <v>0450</v>
      </c>
      <c r="I129" s="25" t="str">
        <f t="shared" si="14"/>
        <v/>
      </c>
      <c r="J129" s="25" t="str">
        <f t="shared" si="15"/>
        <v>r</v>
      </c>
      <c r="K129" s="25" t="str">
        <f t="shared" si="16"/>
        <v>01</v>
      </c>
      <c r="L129" s="25" t="str">
        <f t="shared" si="17"/>
        <v>F02DN010450</v>
      </c>
      <c r="M129" s="25" t="s">
        <v>729</v>
      </c>
    </row>
    <row r="130" spans="1:13" x14ac:dyDescent="0.25">
      <c r="A130" s="25">
        <v>81</v>
      </c>
      <c r="B130" s="25" t="s">
        <v>328</v>
      </c>
      <c r="C130" s="25" t="s">
        <v>27</v>
      </c>
      <c r="D130" s="25" t="s">
        <v>329</v>
      </c>
      <c r="E130" s="25" t="str">
        <f t="shared" si="10"/>
        <v>F02</v>
      </c>
      <c r="F130" s="25" t="str">
        <f t="shared" si="11"/>
        <v>DN</v>
      </c>
      <c r="G130" s="25" t="str">
        <f t="shared" si="12"/>
        <v>03</v>
      </c>
      <c r="H130" s="25" t="str">
        <f t="shared" si="13"/>
        <v>0500</v>
      </c>
      <c r="I130" s="25" t="str">
        <f t="shared" si="14"/>
        <v/>
      </c>
      <c r="J130" s="25" t="str">
        <f t="shared" si="15"/>
        <v>r</v>
      </c>
      <c r="K130" s="25" t="str">
        <f t="shared" si="16"/>
        <v>01</v>
      </c>
      <c r="L130" s="25" t="str">
        <f t="shared" si="17"/>
        <v>F02DN010500</v>
      </c>
      <c r="M130" s="25" t="s">
        <v>730</v>
      </c>
    </row>
    <row r="131" spans="1:13" x14ac:dyDescent="0.25">
      <c r="A131" s="25">
        <v>81</v>
      </c>
      <c r="B131" s="25" t="s">
        <v>330</v>
      </c>
      <c r="C131" s="25" t="s">
        <v>27</v>
      </c>
      <c r="D131" s="25" t="s">
        <v>331</v>
      </c>
      <c r="E131" s="25" t="str">
        <f t="shared" si="10"/>
        <v>F02</v>
      </c>
      <c r="F131" s="25" t="str">
        <f t="shared" si="11"/>
        <v>DN</v>
      </c>
      <c r="G131" s="25" t="str">
        <f t="shared" si="12"/>
        <v>03</v>
      </c>
      <c r="H131" s="25" t="str">
        <f t="shared" si="13"/>
        <v>1000</v>
      </c>
      <c r="I131" s="25" t="str">
        <f t="shared" si="14"/>
        <v/>
      </c>
      <c r="J131" s="25" t="str">
        <f t="shared" si="15"/>
        <v>r</v>
      </c>
      <c r="K131" s="25" t="str">
        <f t="shared" si="16"/>
        <v>01</v>
      </c>
      <c r="L131" s="25" t="str">
        <f t="shared" si="17"/>
        <v>F02DN011000</v>
      </c>
      <c r="M131" s="25" t="s">
        <v>731</v>
      </c>
    </row>
    <row r="132" spans="1:13" x14ac:dyDescent="0.25">
      <c r="A132" s="25">
        <v>81</v>
      </c>
      <c r="B132" s="25" t="s">
        <v>332</v>
      </c>
      <c r="C132" s="25" t="s">
        <v>27</v>
      </c>
      <c r="D132" s="25" t="s">
        <v>333</v>
      </c>
      <c r="E132" s="25" t="str">
        <f t="shared" si="10"/>
        <v>F02</v>
      </c>
      <c r="F132" s="25" t="str">
        <f t="shared" si="11"/>
        <v>DN</v>
      </c>
      <c r="G132" s="25" t="str">
        <f t="shared" si="12"/>
        <v>04</v>
      </c>
      <c r="H132" s="25" t="str">
        <f t="shared" si="13"/>
        <v>0300</v>
      </c>
      <c r="I132" s="25" t="str">
        <f t="shared" si="14"/>
        <v/>
      </c>
      <c r="J132" s="25" t="str">
        <f t="shared" si="15"/>
        <v/>
      </c>
      <c r="K132" s="25" t="str">
        <f t="shared" si="16"/>
        <v>04</v>
      </c>
      <c r="L132" s="25" t="str">
        <f t="shared" si="17"/>
        <v>F02DN040300</v>
      </c>
      <c r="M132" s="25" t="s">
        <v>732</v>
      </c>
    </row>
    <row r="133" spans="1:13" x14ac:dyDescent="0.25">
      <c r="A133" s="25">
        <v>81</v>
      </c>
      <c r="B133" s="25" t="s">
        <v>334</v>
      </c>
      <c r="C133" s="25" t="s">
        <v>27</v>
      </c>
      <c r="D133" s="25" t="s">
        <v>335</v>
      </c>
      <c r="E133" s="25" t="str">
        <f t="shared" si="10"/>
        <v>F02</v>
      </c>
      <c r="F133" s="25" t="str">
        <f t="shared" si="11"/>
        <v>DN</v>
      </c>
      <c r="G133" s="25" t="str">
        <f t="shared" si="12"/>
        <v>04</v>
      </c>
      <c r="H133" s="25" t="str">
        <f t="shared" si="13"/>
        <v>0500</v>
      </c>
      <c r="I133" s="25" t="str">
        <f t="shared" si="14"/>
        <v/>
      </c>
      <c r="J133" s="25" t="str">
        <f t="shared" si="15"/>
        <v/>
      </c>
      <c r="K133" s="25" t="str">
        <f t="shared" si="16"/>
        <v>04</v>
      </c>
      <c r="L133" s="25" t="str">
        <f t="shared" si="17"/>
        <v>F02DN040500</v>
      </c>
      <c r="M133" s="25" t="s">
        <v>733</v>
      </c>
    </row>
    <row r="134" spans="1:13" x14ac:dyDescent="0.25">
      <c r="A134" s="25">
        <v>81</v>
      </c>
      <c r="B134" s="25" t="s">
        <v>336</v>
      </c>
      <c r="C134" s="25" t="s">
        <v>27</v>
      </c>
      <c r="D134" s="25" t="s">
        <v>337</v>
      </c>
      <c r="E134" s="25" t="str">
        <f t="shared" si="10"/>
        <v>F02</v>
      </c>
      <c r="F134" s="25" t="str">
        <f t="shared" si="11"/>
        <v>DV</v>
      </c>
      <c r="G134" s="25" t="str">
        <f t="shared" si="12"/>
        <v>01</v>
      </c>
      <c r="H134" s="25" t="str">
        <f t="shared" si="13"/>
        <v>0100</v>
      </c>
      <c r="I134" s="25" t="str">
        <f t="shared" si="14"/>
        <v>x</v>
      </c>
      <c r="J134" s="25" t="str">
        <f t="shared" si="15"/>
        <v/>
      </c>
      <c r="K134" s="25" t="str">
        <f t="shared" si="16"/>
        <v>01</v>
      </c>
      <c r="L134" s="25" t="str">
        <f t="shared" si="17"/>
        <v>DeleteRow</v>
      </c>
      <c r="M134" s="25" t="s">
        <v>734</v>
      </c>
    </row>
    <row r="135" spans="1:13" x14ac:dyDescent="0.25">
      <c r="A135" s="25">
        <v>81</v>
      </c>
      <c r="B135" s="25" t="s">
        <v>338</v>
      </c>
      <c r="C135" s="25" t="s">
        <v>27</v>
      </c>
      <c r="D135" s="25" t="s">
        <v>339</v>
      </c>
      <c r="E135" s="25" t="str">
        <f t="shared" si="10"/>
        <v>F02</v>
      </c>
      <c r="F135" s="25" t="str">
        <f t="shared" si="11"/>
        <v>DV</v>
      </c>
      <c r="G135" s="25" t="str">
        <f t="shared" si="12"/>
        <v>01</v>
      </c>
      <c r="H135" s="25" t="str">
        <f t="shared" si="13"/>
        <v>0150</v>
      </c>
      <c r="I135" s="25" t="str">
        <f t="shared" si="14"/>
        <v>x</v>
      </c>
      <c r="J135" s="25" t="str">
        <f t="shared" si="15"/>
        <v/>
      </c>
      <c r="K135" s="25" t="str">
        <f t="shared" si="16"/>
        <v>01</v>
      </c>
      <c r="L135" s="25" t="str">
        <f t="shared" si="17"/>
        <v>DeleteRow</v>
      </c>
      <c r="M135" s="25" t="s">
        <v>735</v>
      </c>
    </row>
    <row r="136" spans="1:13" x14ac:dyDescent="0.25">
      <c r="A136" s="25">
        <v>81</v>
      </c>
      <c r="B136" s="25" t="s">
        <v>340</v>
      </c>
      <c r="C136" s="25" t="s">
        <v>27</v>
      </c>
      <c r="D136" s="25" t="s">
        <v>341</v>
      </c>
      <c r="E136" s="25" t="str">
        <f t="shared" si="10"/>
        <v>F02</v>
      </c>
      <c r="F136" s="25" t="str">
        <f t="shared" si="11"/>
        <v>DV</v>
      </c>
      <c r="G136" s="25" t="str">
        <f t="shared" si="12"/>
        <v>02</v>
      </c>
      <c r="H136" s="25" t="str">
        <f t="shared" si="13"/>
        <v>1000</v>
      </c>
      <c r="I136" s="25" t="str">
        <f t="shared" si="14"/>
        <v>x</v>
      </c>
      <c r="J136" s="25" t="str">
        <f t="shared" si="15"/>
        <v/>
      </c>
      <c r="K136" s="25" t="str">
        <f t="shared" si="16"/>
        <v>02</v>
      </c>
      <c r="L136" s="25" t="str">
        <f t="shared" si="17"/>
        <v>DeleteRow</v>
      </c>
      <c r="M136" s="25" t="s">
        <v>736</v>
      </c>
    </row>
    <row r="137" spans="1:13" x14ac:dyDescent="0.25">
      <c r="A137" s="25">
        <v>81</v>
      </c>
      <c r="B137" s="25" t="s">
        <v>342</v>
      </c>
      <c r="C137" s="25" t="s">
        <v>27</v>
      </c>
      <c r="D137" s="25" t="s">
        <v>343</v>
      </c>
      <c r="E137" s="25" t="str">
        <f t="shared" si="10"/>
        <v>F02</v>
      </c>
      <c r="F137" s="25" t="str">
        <f t="shared" si="11"/>
        <v>DV</v>
      </c>
      <c r="G137" s="25" t="str">
        <f t="shared" si="12"/>
        <v>03</v>
      </c>
      <c r="H137" s="25" t="str">
        <f t="shared" si="13"/>
        <v>0150</v>
      </c>
      <c r="I137" s="25" t="str">
        <f t="shared" si="14"/>
        <v>x</v>
      </c>
      <c r="J137" s="25" t="str">
        <f t="shared" si="15"/>
        <v>r</v>
      </c>
      <c r="K137" s="25" t="str">
        <f t="shared" si="16"/>
        <v>01</v>
      </c>
      <c r="L137" s="25" t="str">
        <f t="shared" si="17"/>
        <v>DeleteRow</v>
      </c>
      <c r="M137" s="25" t="s">
        <v>737</v>
      </c>
    </row>
    <row r="138" spans="1:13" x14ac:dyDescent="0.25">
      <c r="A138" s="25">
        <v>81</v>
      </c>
      <c r="B138" s="25" t="s">
        <v>344</v>
      </c>
      <c r="C138" s="25" t="s">
        <v>27</v>
      </c>
      <c r="D138" s="25" t="s">
        <v>345</v>
      </c>
      <c r="E138" s="25" t="str">
        <f t="shared" si="10"/>
        <v>F02</v>
      </c>
      <c r="F138" s="25" t="str">
        <f t="shared" si="11"/>
        <v>DZ</v>
      </c>
      <c r="G138" s="25" t="str">
        <f t="shared" si="12"/>
        <v>03</v>
      </c>
      <c r="H138" s="25" t="str">
        <f t="shared" si="13"/>
        <v>0100</v>
      </c>
      <c r="I138" s="25" t="str">
        <f t="shared" si="14"/>
        <v>x</v>
      </c>
      <c r="J138" s="25" t="str">
        <f t="shared" si="15"/>
        <v>r</v>
      </c>
      <c r="K138" s="25" t="str">
        <f t="shared" si="16"/>
        <v>01</v>
      </c>
      <c r="L138" s="25" t="str">
        <f t="shared" si="17"/>
        <v>DeleteRow</v>
      </c>
      <c r="M138" s="25" t="s">
        <v>738</v>
      </c>
    </row>
    <row r="139" spans="1:13" x14ac:dyDescent="0.25">
      <c r="A139" s="25">
        <v>81</v>
      </c>
      <c r="B139" s="25" t="s">
        <v>346</v>
      </c>
      <c r="C139" s="25" t="s">
        <v>27</v>
      </c>
      <c r="D139" s="25" t="s">
        <v>347</v>
      </c>
      <c r="E139" s="25" t="str">
        <f t="shared" si="10"/>
        <v>F02</v>
      </c>
      <c r="F139" s="25" t="str">
        <f t="shared" si="11"/>
        <v>DZ</v>
      </c>
      <c r="G139" s="25" t="str">
        <f t="shared" si="12"/>
        <v>03</v>
      </c>
      <c r="H139" s="25" t="str">
        <f t="shared" si="13"/>
        <v>0150</v>
      </c>
      <c r="I139" s="25" t="str">
        <f t="shared" si="14"/>
        <v>x</v>
      </c>
      <c r="J139" s="25" t="str">
        <f t="shared" si="15"/>
        <v>r</v>
      </c>
      <c r="K139" s="25" t="str">
        <f t="shared" si="16"/>
        <v>01</v>
      </c>
      <c r="L139" s="25" t="str">
        <f t="shared" si="17"/>
        <v>DeleteRow</v>
      </c>
      <c r="M139" s="25" t="s">
        <v>739</v>
      </c>
    </row>
    <row r="140" spans="1:13" x14ac:dyDescent="0.25">
      <c r="A140" s="25">
        <v>81</v>
      </c>
      <c r="B140" s="25" t="s">
        <v>348</v>
      </c>
      <c r="C140" s="25" t="s">
        <v>27</v>
      </c>
      <c r="D140" s="25" t="s">
        <v>349</v>
      </c>
      <c r="E140" s="25" t="str">
        <f t="shared" si="10"/>
        <v>F02</v>
      </c>
      <c r="F140" s="25" t="str">
        <f t="shared" si="11"/>
        <v>LS</v>
      </c>
      <c r="G140" s="25" t="str">
        <f t="shared" si="12"/>
        <v>02</v>
      </c>
      <c r="H140" s="25" t="str">
        <f t="shared" si="13"/>
        <v>0150</v>
      </c>
      <c r="I140" s="25" t="str">
        <f t="shared" si="14"/>
        <v/>
      </c>
      <c r="J140" s="25" t="str">
        <f t="shared" si="15"/>
        <v/>
      </c>
      <c r="K140" s="25" t="str">
        <f t="shared" si="16"/>
        <v>02</v>
      </c>
      <c r="L140" s="25" t="str">
        <f t="shared" si="17"/>
        <v>F02LS020150</v>
      </c>
      <c r="M140" s="25" t="s">
        <v>740</v>
      </c>
    </row>
    <row r="141" spans="1:13" x14ac:dyDescent="0.25">
      <c r="A141" s="25">
        <v>81</v>
      </c>
      <c r="B141" s="25" t="s">
        <v>350</v>
      </c>
      <c r="C141" s="25" t="s">
        <v>27</v>
      </c>
      <c r="D141" s="25" t="s">
        <v>351</v>
      </c>
      <c r="E141" s="25" t="str">
        <f t="shared" si="10"/>
        <v>F02</v>
      </c>
      <c r="F141" s="25" t="str">
        <f t="shared" si="11"/>
        <v>LS</v>
      </c>
      <c r="G141" s="25" t="str">
        <f t="shared" si="12"/>
        <v>02</v>
      </c>
      <c r="H141" s="25" t="str">
        <f t="shared" si="13"/>
        <v>0200</v>
      </c>
      <c r="I141" s="25" t="str">
        <f t="shared" si="14"/>
        <v/>
      </c>
      <c r="J141" s="25" t="str">
        <f t="shared" si="15"/>
        <v/>
      </c>
      <c r="K141" s="25" t="str">
        <f t="shared" si="16"/>
        <v>02</v>
      </c>
      <c r="L141" s="25" t="str">
        <f t="shared" si="17"/>
        <v>F02LS020200</v>
      </c>
      <c r="M141" s="25" t="s">
        <v>741</v>
      </c>
    </row>
    <row r="142" spans="1:13" x14ac:dyDescent="0.25">
      <c r="A142" s="25">
        <v>81</v>
      </c>
      <c r="B142" s="25" t="s">
        <v>352</v>
      </c>
      <c r="C142" s="25" t="s">
        <v>27</v>
      </c>
      <c r="D142" s="25" t="s">
        <v>353</v>
      </c>
      <c r="E142" s="25" t="str">
        <f t="shared" si="10"/>
        <v>F02</v>
      </c>
      <c r="F142" s="25" t="str">
        <f t="shared" si="11"/>
        <v>LS</v>
      </c>
      <c r="G142" s="25" t="str">
        <f t="shared" si="12"/>
        <v>02</v>
      </c>
      <c r="H142" s="25" t="str">
        <f t="shared" si="13"/>
        <v>0400</v>
      </c>
      <c r="I142" s="25" t="str">
        <f t="shared" si="14"/>
        <v/>
      </c>
      <c r="J142" s="25" t="str">
        <f t="shared" si="15"/>
        <v/>
      </c>
      <c r="K142" s="25" t="str">
        <f t="shared" si="16"/>
        <v>02</v>
      </c>
      <c r="L142" s="25" t="str">
        <f t="shared" si="17"/>
        <v>F02LS020400</v>
      </c>
      <c r="M142" s="25" t="s">
        <v>742</v>
      </c>
    </row>
    <row r="143" spans="1:13" x14ac:dyDescent="0.25">
      <c r="A143" s="25">
        <v>81</v>
      </c>
      <c r="B143" s="25" t="s">
        <v>354</v>
      </c>
      <c r="C143" s="25" t="s">
        <v>27</v>
      </c>
      <c r="D143" s="25" t="s">
        <v>355</v>
      </c>
      <c r="E143" s="25" t="str">
        <f t="shared" si="10"/>
        <v>F02</v>
      </c>
      <c r="F143" s="25" t="str">
        <f t="shared" si="11"/>
        <v>LS</v>
      </c>
      <c r="G143" s="25" t="str">
        <f t="shared" si="12"/>
        <v>02</v>
      </c>
      <c r="H143" s="25" t="str">
        <f t="shared" si="13"/>
        <v>0500</v>
      </c>
      <c r="I143" s="25" t="str">
        <f t="shared" si="14"/>
        <v/>
      </c>
      <c r="J143" s="25" t="str">
        <f t="shared" si="15"/>
        <v/>
      </c>
      <c r="K143" s="25" t="str">
        <f t="shared" si="16"/>
        <v>02</v>
      </c>
      <c r="L143" s="25" t="str">
        <f t="shared" si="17"/>
        <v>F02LS020500</v>
      </c>
      <c r="M143" s="25" t="s">
        <v>743</v>
      </c>
    </row>
    <row r="144" spans="1:13" x14ac:dyDescent="0.25">
      <c r="A144" s="25">
        <v>81</v>
      </c>
      <c r="B144" s="25" t="s">
        <v>356</v>
      </c>
      <c r="C144" s="25" t="s">
        <v>27</v>
      </c>
      <c r="D144" s="25" t="s">
        <v>357</v>
      </c>
      <c r="E144" s="25" t="str">
        <f t="shared" si="10"/>
        <v>F02</v>
      </c>
      <c r="F144" s="25" t="str">
        <f t="shared" si="11"/>
        <v>LS</v>
      </c>
      <c r="G144" s="25" t="str">
        <f t="shared" si="12"/>
        <v>02</v>
      </c>
      <c r="H144" s="25" t="str">
        <f t="shared" si="13"/>
        <v>1000</v>
      </c>
      <c r="I144" s="25" t="str">
        <f t="shared" si="14"/>
        <v/>
      </c>
      <c r="J144" s="25" t="str">
        <f t="shared" si="15"/>
        <v/>
      </c>
      <c r="K144" s="25" t="str">
        <f t="shared" si="16"/>
        <v>02</v>
      </c>
      <c r="L144" s="25" t="str">
        <f t="shared" si="17"/>
        <v>F02LS021000</v>
      </c>
      <c r="M144" s="25" t="s">
        <v>744</v>
      </c>
    </row>
    <row r="145" spans="1:13" x14ac:dyDescent="0.25">
      <c r="A145" s="25">
        <v>81</v>
      </c>
      <c r="B145" s="25" t="s">
        <v>358</v>
      </c>
      <c r="C145" s="25" t="s">
        <v>27</v>
      </c>
      <c r="D145" s="25" t="s">
        <v>359</v>
      </c>
      <c r="E145" s="25" t="str">
        <f t="shared" ref="E145:E208" si="18">RIGHT(LEFT(B145,6),3)</f>
        <v>F02</v>
      </c>
      <c r="F145" s="25" t="str">
        <f t="shared" ref="F145:F208" si="19">RIGHT(LEFT(B145,9),2)</f>
        <v>LS</v>
      </c>
      <c r="G145" s="25" t="str">
        <f t="shared" ref="G145:G208" si="20">RIGHT(LEFT(B145,11),2)</f>
        <v>03</v>
      </c>
      <c r="H145" s="25" t="str">
        <f t="shared" ref="H145:H208" si="21">RIGHT(LEFT(B145,15),4)</f>
        <v>0050</v>
      </c>
      <c r="I145" s="25" t="str">
        <f t="shared" ref="I145:I208" si="22">IF(OR(F145="DV",F145="DZ"),"x","")</f>
        <v/>
      </c>
      <c r="J145" s="25" t="str">
        <f t="shared" ref="J145:J208" si="23">IF(G145="05","x",IF(G145="03","r",""))</f>
        <v>r</v>
      </c>
      <c r="K145" s="25" t="str">
        <f t="shared" ref="K145:K208" si="24">IF(J145="r","01",G145)</f>
        <v>01</v>
      </c>
      <c r="L145" s="25" t="str">
        <f t="shared" ref="L145:L208" si="25">IF(OR(I145="x",J145="x"),"DeleteRow",E145&amp;F145&amp;K145&amp;H145)</f>
        <v>F02LS010050</v>
      </c>
      <c r="M145" s="25" t="s">
        <v>745</v>
      </c>
    </row>
    <row r="146" spans="1:13" x14ac:dyDescent="0.25">
      <c r="A146" s="25">
        <v>81</v>
      </c>
      <c r="B146" s="25" t="s">
        <v>360</v>
      </c>
      <c r="C146" s="25" t="s">
        <v>27</v>
      </c>
      <c r="D146" s="25" t="s">
        <v>361</v>
      </c>
      <c r="E146" s="25" t="str">
        <f t="shared" si="18"/>
        <v>F02</v>
      </c>
      <c r="F146" s="25" t="str">
        <f t="shared" si="19"/>
        <v>LS</v>
      </c>
      <c r="G146" s="25" t="str">
        <f t="shared" si="20"/>
        <v>03</v>
      </c>
      <c r="H146" s="25" t="str">
        <f t="shared" si="21"/>
        <v>0060</v>
      </c>
      <c r="I146" s="25" t="str">
        <f t="shared" si="22"/>
        <v/>
      </c>
      <c r="J146" s="25" t="str">
        <f t="shared" si="23"/>
        <v>r</v>
      </c>
      <c r="K146" s="25" t="str">
        <f t="shared" si="24"/>
        <v>01</v>
      </c>
      <c r="L146" s="25" t="str">
        <f t="shared" si="25"/>
        <v>F02LS010060</v>
      </c>
      <c r="M146" s="25" t="s">
        <v>746</v>
      </c>
    </row>
    <row r="147" spans="1:13" x14ac:dyDescent="0.25">
      <c r="A147" s="25">
        <v>81</v>
      </c>
      <c r="B147" s="25" t="s">
        <v>362</v>
      </c>
      <c r="C147" s="25" t="s">
        <v>27</v>
      </c>
      <c r="D147" s="25" t="s">
        <v>363</v>
      </c>
      <c r="E147" s="25" t="str">
        <f t="shared" si="18"/>
        <v>F02</v>
      </c>
      <c r="F147" s="25" t="str">
        <f t="shared" si="19"/>
        <v>LS</v>
      </c>
      <c r="G147" s="25" t="str">
        <f t="shared" si="20"/>
        <v>03</v>
      </c>
      <c r="H147" s="25" t="str">
        <f t="shared" si="21"/>
        <v>0100</v>
      </c>
      <c r="I147" s="25" t="str">
        <f t="shared" si="22"/>
        <v/>
      </c>
      <c r="J147" s="25" t="str">
        <f t="shared" si="23"/>
        <v>r</v>
      </c>
      <c r="K147" s="25" t="str">
        <f t="shared" si="24"/>
        <v>01</v>
      </c>
      <c r="L147" s="25" t="str">
        <f t="shared" si="25"/>
        <v>F02LS010100</v>
      </c>
      <c r="M147" s="25" t="s">
        <v>747</v>
      </c>
    </row>
    <row r="148" spans="1:13" x14ac:dyDescent="0.25">
      <c r="A148" s="25">
        <v>81</v>
      </c>
      <c r="B148" s="25" t="s">
        <v>364</v>
      </c>
      <c r="C148" s="25" t="s">
        <v>27</v>
      </c>
      <c r="D148" s="25" t="s">
        <v>365</v>
      </c>
      <c r="E148" s="25" t="str">
        <f t="shared" si="18"/>
        <v>F02</v>
      </c>
      <c r="F148" s="25" t="str">
        <f t="shared" si="19"/>
        <v>LS</v>
      </c>
      <c r="G148" s="25" t="str">
        <f t="shared" si="20"/>
        <v>03</v>
      </c>
      <c r="H148" s="25" t="str">
        <f t="shared" si="21"/>
        <v>0120</v>
      </c>
      <c r="I148" s="25" t="str">
        <f t="shared" si="22"/>
        <v/>
      </c>
      <c r="J148" s="25" t="str">
        <f t="shared" si="23"/>
        <v>r</v>
      </c>
      <c r="K148" s="25" t="str">
        <f t="shared" si="24"/>
        <v>01</v>
      </c>
      <c r="L148" s="25" t="str">
        <f t="shared" si="25"/>
        <v>F02LS010120</v>
      </c>
      <c r="M148" s="25" t="s">
        <v>748</v>
      </c>
    </row>
    <row r="149" spans="1:13" x14ac:dyDescent="0.25">
      <c r="A149" s="25">
        <v>81</v>
      </c>
      <c r="B149" s="25" t="s">
        <v>366</v>
      </c>
      <c r="C149" s="25" t="s">
        <v>27</v>
      </c>
      <c r="D149" s="25" t="s">
        <v>367</v>
      </c>
      <c r="E149" s="25" t="str">
        <f t="shared" si="18"/>
        <v>F02</v>
      </c>
      <c r="F149" s="25" t="str">
        <f t="shared" si="19"/>
        <v>LS</v>
      </c>
      <c r="G149" s="25" t="str">
        <f t="shared" si="20"/>
        <v>03</v>
      </c>
      <c r="H149" s="25" t="str">
        <f t="shared" si="21"/>
        <v>0130</v>
      </c>
      <c r="I149" s="25" t="str">
        <f t="shared" si="22"/>
        <v/>
      </c>
      <c r="J149" s="25" t="str">
        <f t="shared" si="23"/>
        <v>r</v>
      </c>
      <c r="K149" s="25" t="str">
        <f t="shared" si="24"/>
        <v>01</v>
      </c>
      <c r="L149" s="25" t="str">
        <f t="shared" si="25"/>
        <v>F02LS010130</v>
      </c>
      <c r="M149" s="25" t="s">
        <v>749</v>
      </c>
    </row>
    <row r="150" spans="1:13" x14ac:dyDescent="0.25">
      <c r="A150" s="25">
        <v>81</v>
      </c>
      <c r="B150" s="25" t="s">
        <v>368</v>
      </c>
      <c r="C150" s="25" t="s">
        <v>27</v>
      </c>
      <c r="D150" s="25" t="s">
        <v>369</v>
      </c>
      <c r="E150" s="25" t="str">
        <f t="shared" si="18"/>
        <v>F02</v>
      </c>
      <c r="F150" s="25" t="str">
        <f t="shared" si="19"/>
        <v>LS</v>
      </c>
      <c r="G150" s="25" t="str">
        <f t="shared" si="20"/>
        <v>03</v>
      </c>
      <c r="H150" s="25" t="str">
        <f t="shared" si="21"/>
        <v>0150</v>
      </c>
      <c r="I150" s="25" t="str">
        <f t="shared" si="22"/>
        <v/>
      </c>
      <c r="J150" s="25" t="str">
        <f t="shared" si="23"/>
        <v>r</v>
      </c>
      <c r="K150" s="25" t="str">
        <f t="shared" si="24"/>
        <v>01</v>
      </c>
      <c r="L150" s="25" t="str">
        <f t="shared" si="25"/>
        <v>F02LS010150</v>
      </c>
      <c r="M150" s="25" t="s">
        <v>750</v>
      </c>
    </row>
    <row r="151" spans="1:13" x14ac:dyDescent="0.25">
      <c r="A151" s="25">
        <v>81</v>
      </c>
      <c r="B151" s="25" t="s">
        <v>370</v>
      </c>
      <c r="C151" s="25" t="s">
        <v>27</v>
      </c>
      <c r="D151" s="25" t="s">
        <v>371</v>
      </c>
      <c r="E151" s="25" t="str">
        <f t="shared" si="18"/>
        <v>F02</v>
      </c>
      <c r="F151" s="25" t="str">
        <f t="shared" si="19"/>
        <v>LS</v>
      </c>
      <c r="G151" s="25" t="str">
        <f t="shared" si="20"/>
        <v>03</v>
      </c>
      <c r="H151" s="25" t="str">
        <f t="shared" si="21"/>
        <v>0160</v>
      </c>
      <c r="I151" s="25" t="str">
        <f t="shared" si="22"/>
        <v/>
      </c>
      <c r="J151" s="25" t="str">
        <f t="shared" si="23"/>
        <v>r</v>
      </c>
      <c r="K151" s="25" t="str">
        <f t="shared" si="24"/>
        <v>01</v>
      </c>
      <c r="L151" s="25" t="str">
        <f t="shared" si="25"/>
        <v>F02LS010160</v>
      </c>
      <c r="M151" s="25" t="s">
        <v>751</v>
      </c>
    </row>
    <row r="152" spans="1:13" x14ac:dyDescent="0.25">
      <c r="A152" s="25">
        <v>81</v>
      </c>
      <c r="B152" s="25" t="s">
        <v>372</v>
      </c>
      <c r="C152" s="25" t="s">
        <v>27</v>
      </c>
      <c r="D152" s="25" t="s">
        <v>373</v>
      </c>
      <c r="E152" s="25" t="str">
        <f t="shared" si="18"/>
        <v>F02</v>
      </c>
      <c r="F152" s="25" t="str">
        <f t="shared" si="19"/>
        <v>LS</v>
      </c>
      <c r="G152" s="25" t="str">
        <f t="shared" si="20"/>
        <v>03</v>
      </c>
      <c r="H152" s="25" t="str">
        <f t="shared" si="21"/>
        <v>0180</v>
      </c>
      <c r="I152" s="25" t="str">
        <f t="shared" si="22"/>
        <v/>
      </c>
      <c r="J152" s="25" t="str">
        <f t="shared" si="23"/>
        <v>r</v>
      </c>
      <c r="K152" s="25" t="str">
        <f t="shared" si="24"/>
        <v>01</v>
      </c>
      <c r="L152" s="25" t="str">
        <f t="shared" si="25"/>
        <v>F02LS010180</v>
      </c>
      <c r="M152" s="25" t="s">
        <v>752</v>
      </c>
    </row>
    <row r="153" spans="1:13" x14ac:dyDescent="0.25">
      <c r="A153" s="25">
        <v>81</v>
      </c>
      <c r="B153" s="25" t="s">
        <v>374</v>
      </c>
      <c r="C153" s="25" t="s">
        <v>27</v>
      </c>
      <c r="D153" s="25" t="s">
        <v>375</v>
      </c>
      <c r="E153" s="25" t="str">
        <f t="shared" si="18"/>
        <v>F02</v>
      </c>
      <c r="F153" s="25" t="str">
        <f t="shared" si="19"/>
        <v>LS</v>
      </c>
      <c r="G153" s="25" t="str">
        <f t="shared" si="20"/>
        <v>03</v>
      </c>
      <c r="H153" s="25" t="str">
        <f t="shared" si="21"/>
        <v>0200</v>
      </c>
      <c r="I153" s="25" t="str">
        <f t="shared" si="22"/>
        <v/>
      </c>
      <c r="J153" s="25" t="str">
        <f t="shared" si="23"/>
        <v>r</v>
      </c>
      <c r="K153" s="25" t="str">
        <f t="shared" si="24"/>
        <v>01</v>
      </c>
      <c r="L153" s="25" t="str">
        <f t="shared" si="25"/>
        <v>F02LS010200</v>
      </c>
      <c r="M153" s="25" t="s">
        <v>753</v>
      </c>
    </row>
    <row r="154" spans="1:13" x14ac:dyDescent="0.25">
      <c r="A154" s="25">
        <v>81</v>
      </c>
      <c r="B154" s="25" t="s">
        <v>376</v>
      </c>
      <c r="C154" s="25" t="s">
        <v>27</v>
      </c>
      <c r="D154" s="25" t="s">
        <v>377</v>
      </c>
      <c r="E154" s="25" t="str">
        <f t="shared" si="18"/>
        <v>F02</v>
      </c>
      <c r="F154" s="25" t="str">
        <f t="shared" si="19"/>
        <v>LS</v>
      </c>
      <c r="G154" s="25" t="str">
        <f t="shared" si="20"/>
        <v>03</v>
      </c>
      <c r="H154" s="25" t="str">
        <f t="shared" si="21"/>
        <v>0250</v>
      </c>
      <c r="I154" s="25" t="str">
        <f t="shared" si="22"/>
        <v/>
      </c>
      <c r="J154" s="25" t="str">
        <f t="shared" si="23"/>
        <v>r</v>
      </c>
      <c r="K154" s="25" t="str">
        <f t="shared" si="24"/>
        <v>01</v>
      </c>
      <c r="L154" s="25" t="str">
        <f t="shared" si="25"/>
        <v>F02LS010250</v>
      </c>
      <c r="M154" s="25" t="s">
        <v>754</v>
      </c>
    </row>
    <row r="155" spans="1:13" x14ac:dyDescent="0.25">
      <c r="A155" s="25">
        <v>81</v>
      </c>
      <c r="B155" s="25" t="s">
        <v>378</v>
      </c>
      <c r="C155" s="25" t="s">
        <v>27</v>
      </c>
      <c r="D155" s="25" t="s">
        <v>379</v>
      </c>
      <c r="E155" s="25" t="str">
        <f t="shared" si="18"/>
        <v>F02</v>
      </c>
      <c r="F155" s="25" t="str">
        <f t="shared" si="19"/>
        <v>LS</v>
      </c>
      <c r="G155" s="25" t="str">
        <f t="shared" si="20"/>
        <v>03</v>
      </c>
      <c r="H155" s="25" t="str">
        <f t="shared" si="21"/>
        <v>0300</v>
      </c>
      <c r="I155" s="25" t="str">
        <f t="shared" si="22"/>
        <v/>
      </c>
      <c r="J155" s="25" t="str">
        <f t="shared" si="23"/>
        <v>r</v>
      </c>
      <c r="K155" s="25" t="str">
        <f t="shared" si="24"/>
        <v>01</v>
      </c>
      <c r="L155" s="25" t="str">
        <f t="shared" si="25"/>
        <v>F02LS010300</v>
      </c>
      <c r="M155" s="25" t="s">
        <v>755</v>
      </c>
    </row>
    <row r="156" spans="1:13" x14ac:dyDescent="0.25">
      <c r="A156" s="25">
        <v>81</v>
      </c>
      <c r="B156" s="25" t="s">
        <v>380</v>
      </c>
      <c r="C156" s="25" t="s">
        <v>27</v>
      </c>
      <c r="D156" s="25" t="s">
        <v>381</v>
      </c>
      <c r="E156" s="25" t="str">
        <f t="shared" si="18"/>
        <v>F02</v>
      </c>
      <c r="F156" s="25" t="str">
        <f t="shared" si="19"/>
        <v>LS</v>
      </c>
      <c r="G156" s="25" t="str">
        <f t="shared" si="20"/>
        <v>03</v>
      </c>
      <c r="H156" s="25" t="str">
        <f t="shared" si="21"/>
        <v>0500</v>
      </c>
      <c r="I156" s="25" t="str">
        <f t="shared" si="22"/>
        <v/>
      </c>
      <c r="J156" s="25" t="str">
        <f t="shared" si="23"/>
        <v>r</v>
      </c>
      <c r="K156" s="25" t="str">
        <f t="shared" si="24"/>
        <v>01</v>
      </c>
      <c r="L156" s="25" t="str">
        <f t="shared" si="25"/>
        <v>F02LS010500</v>
      </c>
      <c r="M156" s="25" t="s">
        <v>756</v>
      </c>
    </row>
    <row r="157" spans="1:13" x14ac:dyDescent="0.25">
      <c r="A157" s="25">
        <v>81</v>
      </c>
      <c r="B157" s="25" t="s">
        <v>382</v>
      </c>
      <c r="C157" s="25" t="s">
        <v>27</v>
      </c>
      <c r="D157" s="25" t="s">
        <v>383</v>
      </c>
      <c r="E157" s="25" t="str">
        <f t="shared" si="18"/>
        <v>F02</v>
      </c>
      <c r="F157" s="25" t="str">
        <f t="shared" si="19"/>
        <v>LS</v>
      </c>
      <c r="G157" s="25" t="str">
        <f t="shared" si="20"/>
        <v>03</v>
      </c>
      <c r="H157" s="25" t="str">
        <f t="shared" si="21"/>
        <v>1000</v>
      </c>
      <c r="I157" s="25" t="str">
        <f t="shared" si="22"/>
        <v/>
      </c>
      <c r="J157" s="25" t="str">
        <f t="shared" si="23"/>
        <v>r</v>
      </c>
      <c r="K157" s="25" t="str">
        <f t="shared" si="24"/>
        <v>01</v>
      </c>
      <c r="L157" s="25" t="str">
        <f t="shared" si="25"/>
        <v>F02LS011000</v>
      </c>
      <c r="M157" s="25" t="s">
        <v>757</v>
      </c>
    </row>
    <row r="158" spans="1:13" x14ac:dyDescent="0.25">
      <c r="A158" s="25">
        <v>81</v>
      </c>
      <c r="B158" s="25" t="s">
        <v>384</v>
      </c>
      <c r="C158" s="25" t="s">
        <v>27</v>
      </c>
      <c r="D158" s="25" t="s">
        <v>385</v>
      </c>
      <c r="E158" s="25" t="str">
        <f t="shared" si="18"/>
        <v>F02</v>
      </c>
      <c r="F158" s="25" t="str">
        <f t="shared" si="19"/>
        <v>LS</v>
      </c>
      <c r="G158" s="25" t="str">
        <f t="shared" si="20"/>
        <v>04</v>
      </c>
      <c r="H158" s="25" t="str">
        <f t="shared" si="21"/>
        <v>0500</v>
      </c>
      <c r="I158" s="25" t="str">
        <f t="shared" si="22"/>
        <v/>
      </c>
      <c r="J158" s="25" t="str">
        <f t="shared" si="23"/>
        <v/>
      </c>
      <c r="K158" s="25" t="str">
        <f t="shared" si="24"/>
        <v>04</v>
      </c>
      <c r="L158" s="25" t="str">
        <f t="shared" si="25"/>
        <v>F02LS040500</v>
      </c>
      <c r="M158" s="25" t="s">
        <v>758</v>
      </c>
    </row>
    <row r="159" spans="1:13" x14ac:dyDescent="0.25">
      <c r="A159" s="25">
        <v>81</v>
      </c>
      <c r="B159" s="25" t="s">
        <v>386</v>
      </c>
      <c r="C159" s="25" t="s">
        <v>27</v>
      </c>
      <c r="D159" s="25" t="s">
        <v>387</v>
      </c>
      <c r="E159" s="25" t="str">
        <f t="shared" si="18"/>
        <v>F02</v>
      </c>
      <c r="F159" s="25" t="str">
        <f t="shared" si="19"/>
        <v>LT</v>
      </c>
      <c r="G159" s="25" t="str">
        <f t="shared" si="20"/>
        <v>02</v>
      </c>
      <c r="H159" s="25" t="str">
        <f t="shared" si="21"/>
        <v>1000</v>
      </c>
      <c r="I159" s="25" t="str">
        <f t="shared" si="22"/>
        <v/>
      </c>
      <c r="J159" s="25" t="str">
        <f t="shared" si="23"/>
        <v/>
      </c>
      <c r="K159" s="25" t="str">
        <f t="shared" si="24"/>
        <v>02</v>
      </c>
      <c r="L159" s="25" t="str">
        <f t="shared" si="25"/>
        <v>F02LT021000</v>
      </c>
      <c r="M159" s="25" t="s">
        <v>759</v>
      </c>
    </row>
    <row r="160" spans="1:13" x14ac:dyDescent="0.25">
      <c r="A160" s="25">
        <v>81</v>
      </c>
      <c r="B160" s="25" t="s">
        <v>388</v>
      </c>
      <c r="C160" s="25" t="s">
        <v>27</v>
      </c>
      <c r="D160" s="25" t="s">
        <v>389</v>
      </c>
      <c r="E160" s="25" t="str">
        <f t="shared" si="18"/>
        <v>F02</v>
      </c>
      <c r="F160" s="25" t="str">
        <f t="shared" si="19"/>
        <v>LT</v>
      </c>
      <c r="G160" s="25" t="str">
        <f t="shared" si="20"/>
        <v>03</v>
      </c>
      <c r="H160" s="25" t="str">
        <f t="shared" si="21"/>
        <v>0025</v>
      </c>
      <c r="I160" s="25" t="str">
        <f t="shared" si="22"/>
        <v/>
      </c>
      <c r="J160" s="25" t="str">
        <f t="shared" si="23"/>
        <v>r</v>
      </c>
      <c r="K160" s="25" t="str">
        <f t="shared" si="24"/>
        <v>01</v>
      </c>
      <c r="L160" s="25" t="str">
        <f t="shared" si="25"/>
        <v>F02LT010025</v>
      </c>
      <c r="M160" s="25" t="s">
        <v>760</v>
      </c>
    </row>
    <row r="161" spans="1:13" x14ac:dyDescent="0.25">
      <c r="A161" s="25">
        <v>81</v>
      </c>
      <c r="B161" s="25" t="s">
        <v>390</v>
      </c>
      <c r="C161" s="25" t="s">
        <v>27</v>
      </c>
      <c r="D161" s="25" t="s">
        <v>391</v>
      </c>
      <c r="E161" s="25" t="str">
        <f t="shared" si="18"/>
        <v>F02</v>
      </c>
      <c r="F161" s="25" t="str">
        <f t="shared" si="19"/>
        <v>LT</v>
      </c>
      <c r="G161" s="25" t="str">
        <f t="shared" si="20"/>
        <v>03</v>
      </c>
      <c r="H161" s="25" t="str">
        <f t="shared" si="21"/>
        <v>0070</v>
      </c>
      <c r="I161" s="25" t="str">
        <f t="shared" si="22"/>
        <v/>
      </c>
      <c r="J161" s="25" t="str">
        <f t="shared" si="23"/>
        <v>r</v>
      </c>
      <c r="K161" s="25" t="str">
        <f t="shared" si="24"/>
        <v>01</v>
      </c>
      <c r="L161" s="25" t="str">
        <f t="shared" si="25"/>
        <v>F02LT010070</v>
      </c>
      <c r="M161" s="25" t="s">
        <v>761</v>
      </c>
    </row>
    <row r="162" spans="1:13" x14ac:dyDescent="0.25">
      <c r="A162" s="25">
        <v>81</v>
      </c>
      <c r="B162" s="25" t="s">
        <v>392</v>
      </c>
      <c r="C162" s="25" t="s">
        <v>27</v>
      </c>
      <c r="D162" s="25" t="s">
        <v>393</v>
      </c>
      <c r="E162" s="25" t="str">
        <f t="shared" si="18"/>
        <v>F02</v>
      </c>
      <c r="F162" s="25" t="str">
        <f t="shared" si="19"/>
        <v>LT</v>
      </c>
      <c r="G162" s="25" t="str">
        <f t="shared" si="20"/>
        <v>03</v>
      </c>
      <c r="H162" s="25" t="str">
        <f t="shared" si="21"/>
        <v>0100</v>
      </c>
      <c r="I162" s="25" t="str">
        <f t="shared" si="22"/>
        <v/>
      </c>
      <c r="J162" s="25" t="str">
        <f t="shared" si="23"/>
        <v>r</v>
      </c>
      <c r="K162" s="25" t="str">
        <f t="shared" si="24"/>
        <v>01</v>
      </c>
      <c r="L162" s="25" t="str">
        <f t="shared" si="25"/>
        <v>F02LT010100</v>
      </c>
      <c r="M162" s="25" t="s">
        <v>762</v>
      </c>
    </row>
    <row r="163" spans="1:13" x14ac:dyDescent="0.25">
      <c r="A163" s="25">
        <v>81</v>
      </c>
      <c r="B163" s="25" t="s">
        <v>35</v>
      </c>
      <c r="C163" s="25" t="s">
        <v>27</v>
      </c>
      <c r="D163" s="25" t="s">
        <v>394</v>
      </c>
      <c r="E163" s="25" t="str">
        <f t="shared" si="18"/>
        <v>F02</v>
      </c>
      <c r="F163" s="25" t="str">
        <f t="shared" si="19"/>
        <v>LT</v>
      </c>
      <c r="G163" s="25" t="str">
        <f t="shared" si="20"/>
        <v>03</v>
      </c>
      <c r="H163" s="25" t="str">
        <f t="shared" si="21"/>
        <v>0150</v>
      </c>
      <c r="I163" s="25" t="str">
        <f t="shared" si="22"/>
        <v/>
      </c>
      <c r="J163" s="25" t="str">
        <f t="shared" si="23"/>
        <v>r</v>
      </c>
      <c r="K163" s="25" t="str">
        <f t="shared" si="24"/>
        <v>01</v>
      </c>
      <c r="L163" s="25" t="str">
        <f t="shared" si="25"/>
        <v>F02LT010150</v>
      </c>
      <c r="M163" s="25" t="s">
        <v>763</v>
      </c>
    </row>
    <row r="164" spans="1:13" x14ac:dyDescent="0.25">
      <c r="A164" s="25">
        <v>81</v>
      </c>
      <c r="B164" s="25" t="s">
        <v>395</v>
      </c>
      <c r="C164" s="25" t="s">
        <v>27</v>
      </c>
      <c r="D164" s="25" t="s">
        <v>396</v>
      </c>
      <c r="E164" s="25" t="str">
        <f t="shared" si="18"/>
        <v>F02</v>
      </c>
      <c r="F164" s="25" t="str">
        <f t="shared" si="19"/>
        <v>LT</v>
      </c>
      <c r="G164" s="25" t="str">
        <f t="shared" si="20"/>
        <v>03</v>
      </c>
      <c r="H164" s="25" t="str">
        <f t="shared" si="21"/>
        <v>0160</v>
      </c>
      <c r="I164" s="25" t="str">
        <f t="shared" si="22"/>
        <v/>
      </c>
      <c r="J164" s="25" t="str">
        <f t="shared" si="23"/>
        <v>r</v>
      </c>
      <c r="K164" s="25" t="str">
        <f t="shared" si="24"/>
        <v>01</v>
      </c>
      <c r="L164" s="25" t="str">
        <f t="shared" si="25"/>
        <v>F02LT010160</v>
      </c>
      <c r="M164" s="25" t="s">
        <v>764</v>
      </c>
    </row>
    <row r="165" spans="1:13" x14ac:dyDescent="0.25">
      <c r="A165" s="25">
        <v>81</v>
      </c>
      <c r="B165" s="25" t="s">
        <v>397</v>
      </c>
      <c r="C165" s="25" t="s">
        <v>27</v>
      </c>
      <c r="D165" s="25" t="s">
        <v>398</v>
      </c>
      <c r="E165" s="25" t="str">
        <f t="shared" si="18"/>
        <v>F02</v>
      </c>
      <c r="F165" s="25" t="str">
        <f t="shared" si="19"/>
        <v>LT</v>
      </c>
      <c r="G165" s="25" t="str">
        <f t="shared" si="20"/>
        <v>03</v>
      </c>
      <c r="H165" s="25" t="str">
        <f t="shared" si="21"/>
        <v>0180</v>
      </c>
      <c r="I165" s="25" t="str">
        <f t="shared" si="22"/>
        <v/>
      </c>
      <c r="J165" s="25" t="str">
        <f t="shared" si="23"/>
        <v>r</v>
      </c>
      <c r="K165" s="25" t="str">
        <f t="shared" si="24"/>
        <v>01</v>
      </c>
      <c r="L165" s="25" t="str">
        <f t="shared" si="25"/>
        <v>F02LT010180</v>
      </c>
      <c r="M165" s="25" t="s">
        <v>765</v>
      </c>
    </row>
    <row r="166" spans="1:13" x14ac:dyDescent="0.25">
      <c r="A166" s="25">
        <v>81</v>
      </c>
      <c r="B166" s="25" t="s">
        <v>399</v>
      </c>
      <c r="C166" s="25" t="s">
        <v>27</v>
      </c>
      <c r="D166" s="25" t="s">
        <v>400</v>
      </c>
      <c r="E166" s="25" t="str">
        <f t="shared" si="18"/>
        <v>F02</v>
      </c>
      <c r="F166" s="25" t="str">
        <f t="shared" si="19"/>
        <v>LT</v>
      </c>
      <c r="G166" s="25" t="str">
        <f t="shared" si="20"/>
        <v>03</v>
      </c>
      <c r="H166" s="25" t="str">
        <f t="shared" si="21"/>
        <v>0200</v>
      </c>
      <c r="I166" s="25" t="str">
        <f t="shared" si="22"/>
        <v/>
      </c>
      <c r="J166" s="25" t="str">
        <f t="shared" si="23"/>
        <v>r</v>
      </c>
      <c r="K166" s="25" t="str">
        <f t="shared" si="24"/>
        <v>01</v>
      </c>
      <c r="L166" s="25" t="str">
        <f t="shared" si="25"/>
        <v>F02LT010200</v>
      </c>
      <c r="M166" s="25" t="s">
        <v>766</v>
      </c>
    </row>
    <row r="167" spans="1:13" x14ac:dyDescent="0.25">
      <c r="A167" s="25">
        <v>81</v>
      </c>
      <c r="B167" s="25" t="s">
        <v>401</v>
      </c>
      <c r="C167" s="25" t="s">
        <v>27</v>
      </c>
      <c r="D167" s="25" t="s">
        <v>402</v>
      </c>
      <c r="E167" s="25" t="str">
        <f t="shared" si="18"/>
        <v>F02</v>
      </c>
      <c r="F167" s="25" t="str">
        <f t="shared" si="19"/>
        <v>LT</v>
      </c>
      <c r="G167" s="25" t="str">
        <f t="shared" si="20"/>
        <v>03</v>
      </c>
      <c r="H167" s="25" t="str">
        <f t="shared" si="21"/>
        <v>0300</v>
      </c>
      <c r="I167" s="25" t="str">
        <f t="shared" si="22"/>
        <v/>
      </c>
      <c r="J167" s="25" t="str">
        <f t="shared" si="23"/>
        <v>r</v>
      </c>
      <c r="K167" s="25" t="str">
        <f t="shared" si="24"/>
        <v>01</v>
      </c>
      <c r="L167" s="25" t="str">
        <f t="shared" si="25"/>
        <v>F02LT010300</v>
      </c>
      <c r="M167" s="25" t="s">
        <v>767</v>
      </c>
    </row>
    <row r="168" spans="1:13" x14ac:dyDescent="0.25">
      <c r="A168" s="25">
        <v>81</v>
      </c>
      <c r="B168" s="25" t="s">
        <v>403</v>
      </c>
      <c r="C168" s="25" t="s">
        <v>27</v>
      </c>
      <c r="D168" s="25" t="s">
        <v>404</v>
      </c>
      <c r="E168" s="25" t="str">
        <f t="shared" si="18"/>
        <v>F02</v>
      </c>
      <c r="F168" s="25" t="str">
        <f t="shared" si="19"/>
        <v>LT</v>
      </c>
      <c r="G168" s="25" t="str">
        <f t="shared" si="20"/>
        <v>03</v>
      </c>
      <c r="H168" s="25" t="str">
        <f t="shared" si="21"/>
        <v>0500</v>
      </c>
      <c r="I168" s="25" t="str">
        <f t="shared" si="22"/>
        <v/>
      </c>
      <c r="J168" s="25" t="str">
        <f t="shared" si="23"/>
        <v>r</v>
      </c>
      <c r="K168" s="25" t="str">
        <f t="shared" si="24"/>
        <v>01</v>
      </c>
      <c r="L168" s="25" t="str">
        <f t="shared" si="25"/>
        <v>F02LT010500</v>
      </c>
      <c r="M168" s="25" t="s">
        <v>768</v>
      </c>
    </row>
    <row r="169" spans="1:13" x14ac:dyDescent="0.25">
      <c r="A169" s="25">
        <v>81</v>
      </c>
      <c r="B169" s="25" t="s">
        <v>405</v>
      </c>
      <c r="C169" s="25" t="s">
        <v>27</v>
      </c>
      <c r="D169" s="25" t="s">
        <v>406</v>
      </c>
      <c r="E169" s="25" t="str">
        <f t="shared" si="18"/>
        <v>F02</v>
      </c>
      <c r="F169" s="25" t="str">
        <f t="shared" si="19"/>
        <v>LT</v>
      </c>
      <c r="G169" s="25" t="str">
        <f t="shared" si="20"/>
        <v>05</v>
      </c>
      <c r="H169" s="25" t="str">
        <f t="shared" si="21"/>
        <v>0025</v>
      </c>
      <c r="I169" s="25" t="str">
        <f t="shared" si="22"/>
        <v/>
      </c>
      <c r="J169" s="25" t="str">
        <f t="shared" si="23"/>
        <v>x</v>
      </c>
      <c r="K169" s="25" t="str">
        <f t="shared" si="24"/>
        <v>05</v>
      </c>
      <c r="L169" s="25" t="str">
        <f t="shared" si="25"/>
        <v>DeleteRow</v>
      </c>
      <c r="M169" s="25" t="s">
        <v>769</v>
      </c>
    </row>
    <row r="170" spans="1:13" x14ac:dyDescent="0.25">
      <c r="A170" s="25">
        <v>81</v>
      </c>
      <c r="B170" s="25" t="s">
        <v>407</v>
      </c>
      <c r="C170" s="25" t="s">
        <v>27</v>
      </c>
      <c r="D170" s="25" t="s">
        <v>408</v>
      </c>
      <c r="E170" s="25" t="str">
        <f t="shared" si="18"/>
        <v>F02</v>
      </c>
      <c r="F170" s="25" t="str">
        <f t="shared" si="19"/>
        <v>T0</v>
      </c>
      <c r="G170" s="25" t="str">
        <f t="shared" si="20"/>
        <v>02</v>
      </c>
      <c r="H170" s="25" t="str">
        <f t="shared" si="21"/>
        <v>0150</v>
      </c>
      <c r="I170" s="25" t="str">
        <f t="shared" si="22"/>
        <v/>
      </c>
      <c r="J170" s="25" t="str">
        <f t="shared" si="23"/>
        <v/>
      </c>
      <c r="K170" s="25" t="str">
        <f t="shared" si="24"/>
        <v>02</v>
      </c>
      <c r="L170" s="25" t="str">
        <f t="shared" si="25"/>
        <v>F02T0020150</v>
      </c>
      <c r="M170" s="25" t="s">
        <v>770</v>
      </c>
    </row>
    <row r="171" spans="1:13" x14ac:dyDescent="0.25">
      <c r="A171" s="25">
        <v>81</v>
      </c>
      <c r="B171" s="25" t="s">
        <v>409</v>
      </c>
      <c r="C171" s="25" t="s">
        <v>27</v>
      </c>
      <c r="D171" s="25" t="s">
        <v>410</v>
      </c>
      <c r="E171" s="25" t="str">
        <f t="shared" si="18"/>
        <v>F02</v>
      </c>
      <c r="F171" s="25" t="str">
        <f t="shared" si="19"/>
        <v>T0</v>
      </c>
      <c r="G171" s="25" t="str">
        <f t="shared" si="20"/>
        <v>02</v>
      </c>
      <c r="H171" s="25" t="str">
        <f t="shared" si="21"/>
        <v>0250</v>
      </c>
      <c r="I171" s="25" t="str">
        <f t="shared" si="22"/>
        <v/>
      </c>
      <c r="J171" s="25" t="str">
        <f t="shared" si="23"/>
        <v/>
      </c>
      <c r="K171" s="25" t="str">
        <f t="shared" si="24"/>
        <v>02</v>
      </c>
      <c r="L171" s="25" t="str">
        <f t="shared" si="25"/>
        <v>F02T0020250</v>
      </c>
      <c r="M171" s="25" t="s">
        <v>771</v>
      </c>
    </row>
    <row r="172" spans="1:13" x14ac:dyDescent="0.25">
      <c r="A172" s="25">
        <v>81</v>
      </c>
      <c r="B172" s="25" t="s">
        <v>411</v>
      </c>
      <c r="C172" s="25" t="s">
        <v>27</v>
      </c>
      <c r="D172" s="25" t="s">
        <v>412</v>
      </c>
      <c r="E172" s="25" t="str">
        <f t="shared" si="18"/>
        <v>F02</v>
      </c>
      <c r="F172" s="25" t="str">
        <f t="shared" si="19"/>
        <v>T0</v>
      </c>
      <c r="G172" s="25" t="str">
        <f t="shared" si="20"/>
        <v>02</v>
      </c>
      <c r="H172" s="25" t="str">
        <f t="shared" si="21"/>
        <v>0400</v>
      </c>
      <c r="I172" s="25" t="str">
        <f t="shared" si="22"/>
        <v/>
      </c>
      <c r="J172" s="25" t="str">
        <f t="shared" si="23"/>
        <v/>
      </c>
      <c r="K172" s="25" t="str">
        <f t="shared" si="24"/>
        <v>02</v>
      </c>
      <c r="L172" s="25" t="str">
        <f t="shared" si="25"/>
        <v>F02T0020400</v>
      </c>
      <c r="M172" s="25" t="s">
        <v>772</v>
      </c>
    </row>
    <row r="173" spans="1:13" x14ac:dyDescent="0.25">
      <c r="A173" s="25">
        <v>81</v>
      </c>
      <c r="B173" s="25" t="s">
        <v>413</v>
      </c>
      <c r="C173" s="25" t="s">
        <v>27</v>
      </c>
      <c r="D173" s="25" t="s">
        <v>414</v>
      </c>
      <c r="E173" s="25" t="str">
        <f t="shared" si="18"/>
        <v>F02</v>
      </c>
      <c r="F173" s="25" t="str">
        <f t="shared" si="19"/>
        <v>T0</v>
      </c>
      <c r="G173" s="25" t="str">
        <f t="shared" si="20"/>
        <v>02</v>
      </c>
      <c r="H173" s="25" t="str">
        <f t="shared" si="21"/>
        <v>1000</v>
      </c>
      <c r="I173" s="25" t="str">
        <f t="shared" si="22"/>
        <v/>
      </c>
      <c r="J173" s="25" t="str">
        <f t="shared" si="23"/>
        <v/>
      </c>
      <c r="K173" s="25" t="str">
        <f t="shared" si="24"/>
        <v>02</v>
      </c>
      <c r="L173" s="25" t="str">
        <f t="shared" si="25"/>
        <v>F02T0021000</v>
      </c>
      <c r="M173" s="25" t="s">
        <v>773</v>
      </c>
    </row>
    <row r="174" spans="1:13" x14ac:dyDescent="0.25">
      <c r="A174" s="25">
        <v>81</v>
      </c>
      <c r="B174" s="25" t="s">
        <v>415</v>
      </c>
      <c r="C174" s="25" t="s">
        <v>27</v>
      </c>
      <c r="D174" s="25" t="s">
        <v>416</v>
      </c>
      <c r="E174" s="25" t="str">
        <f t="shared" si="18"/>
        <v>F02</v>
      </c>
      <c r="F174" s="25" t="str">
        <f t="shared" si="19"/>
        <v>T0</v>
      </c>
      <c r="G174" s="25" t="str">
        <f t="shared" si="20"/>
        <v>03</v>
      </c>
      <c r="H174" s="25" t="str">
        <f t="shared" si="21"/>
        <v>0050</v>
      </c>
      <c r="I174" s="25" t="str">
        <f t="shared" si="22"/>
        <v/>
      </c>
      <c r="J174" s="25" t="str">
        <f t="shared" si="23"/>
        <v>r</v>
      </c>
      <c r="K174" s="25" t="str">
        <f t="shared" si="24"/>
        <v>01</v>
      </c>
      <c r="L174" s="25" t="str">
        <f t="shared" si="25"/>
        <v>F02T0010050</v>
      </c>
      <c r="M174" s="25" t="s">
        <v>774</v>
      </c>
    </row>
    <row r="175" spans="1:13" x14ac:dyDescent="0.25">
      <c r="A175" s="25">
        <v>81</v>
      </c>
      <c r="B175" s="25" t="s">
        <v>417</v>
      </c>
      <c r="C175" s="25" t="s">
        <v>27</v>
      </c>
      <c r="D175" s="25" t="s">
        <v>418</v>
      </c>
      <c r="E175" s="25" t="str">
        <f t="shared" si="18"/>
        <v>F02</v>
      </c>
      <c r="F175" s="25" t="str">
        <f t="shared" si="19"/>
        <v>T0</v>
      </c>
      <c r="G175" s="25" t="str">
        <f t="shared" si="20"/>
        <v>03</v>
      </c>
      <c r="H175" s="25" t="str">
        <f t="shared" si="21"/>
        <v>0060</v>
      </c>
      <c r="I175" s="25" t="str">
        <f t="shared" si="22"/>
        <v/>
      </c>
      <c r="J175" s="25" t="str">
        <f t="shared" si="23"/>
        <v>r</v>
      </c>
      <c r="K175" s="25" t="str">
        <f t="shared" si="24"/>
        <v>01</v>
      </c>
      <c r="L175" s="25" t="str">
        <f t="shared" si="25"/>
        <v>F02T0010060</v>
      </c>
      <c r="M175" s="25" t="s">
        <v>775</v>
      </c>
    </row>
    <row r="176" spans="1:13" x14ac:dyDescent="0.25">
      <c r="A176" s="25">
        <v>81</v>
      </c>
      <c r="B176" s="25" t="s">
        <v>419</v>
      </c>
      <c r="C176" s="25" t="s">
        <v>27</v>
      </c>
      <c r="D176" s="25" t="s">
        <v>420</v>
      </c>
      <c r="E176" s="25" t="str">
        <f t="shared" si="18"/>
        <v>F02</v>
      </c>
      <c r="F176" s="25" t="str">
        <f t="shared" si="19"/>
        <v>T0</v>
      </c>
      <c r="G176" s="25" t="str">
        <f t="shared" si="20"/>
        <v>03</v>
      </c>
      <c r="H176" s="25" t="str">
        <f t="shared" si="21"/>
        <v>0070</v>
      </c>
      <c r="I176" s="25" t="str">
        <f t="shared" si="22"/>
        <v/>
      </c>
      <c r="J176" s="25" t="str">
        <f t="shared" si="23"/>
        <v>r</v>
      </c>
      <c r="K176" s="25" t="str">
        <f t="shared" si="24"/>
        <v>01</v>
      </c>
      <c r="L176" s="25" t="str">
        <f t="shared" si="25"/>
        <v>F02T0010070</v>
      </c>
      <c r="M176" s="25" t="s">
        <v>776</v>
      </c>
    </row>
    <row r="177" spans="1:13" x14ac:dyDescent="0.25">
      <c r="A177" s="25">
        <v>81</v>
      </c>
      <c r="B177" s="25" t="s">
        <v>421</v>
      </c>
      <c r="C177" s="25" t="s">
        <v>27</v>
      </c>
      <c r="D177" s="25" t="s">
        <v>422</v>
      </c>
      <c r="E177" s="25" t="str">
        <f t="shared" si="18"/>
        <v>F02</v>
      </c>
      <c r="F177" s="25" t="str">
        <f t="shared" si="19"/>
        <v>T0</v>
      </c>
      <c r="G177" s="25" t="str">
        <f t="shared" si="20"/>
        <v>03</v>
      </c>
      <c r="H177" s="25" t="str">
        <f t="shared" si="21"/>
        <v>0100</v>
      </c>
      <c r="I177" s="25" t="str">
        <f t="shared" si="22"/>
        <v/>
      </c>
      <c r="J177" s="25" t="str">
        <f t="shared" si="23"/>
        <v>r</v>
      </c>
      <c r="K177" s="25" t="str">
        <f t="shared" si="24"/>
        <v>01</v>
      </c>
      <c r="L177" s="25" t="str">
        <f t="shared" si="25"/>
        <v>F02T0010100</v>
      </c>
      <c r="M177" s="25" t="s">
        <v>777</v>
      </c>
    </row>
    <row r="178" spans="1:13" x14ac:dyDescent="0.25">
      <c r="A178" s="25">
        <v>81</v>
      </c>
      <c r="B178" s="25" t="s">
        <v>423</v>
      </c>
      <c r="C178" s="25" t="s">
        <v>27</v>
      </c>
      <c r="D178" s="25" t="s">
        <v>424</v>
      </c>
      <c r="E178" s="25" t="str">
        <f t="shared" si="18"/>
        <v>F02</v>
      </c>
      <c r="F178" s="25" t="str">
        <f t="shared" si="19"/>
        <v>T0</v>
      </c>
      <c r="G178" s="25" t="str">
        <f t="shared" si="20"/>
        <v>03</v>
      </c>
      <c r="H178" s="25" t="str">
        <f t="shared" si="21"/>
        <v>0120</v>
      </c>
      <c r="I178" s="25" t="str">
        <f t="shared" si="22"/>
        <v/>
      </c>
      <c r="J178" s="25" t="str">
        <f t="shared" si="23"/>
        <v>r</v>
      </c>
      <c r="K178" s="25" t="str">
        <f t="shared" si="24"/>
        <v>01</v>
      </c>
      <c r="L178" s="25" t="str">
        <f t="shared" si="25"/>
        <v>F02T0010120</v>
      </c>
      <c r="M178" s="25" t="s">
        <v>778</v>
      </c>
    </row>
    <row r="179" spans="1:13" x14ac:dyDescent="0.25">
      <c r="A179" s="25">
        <v>81</v>
      </c>
      <c r="B179" s="25" t="s">
        <v>425</v>
      </c>
      <c r="C179" s="25" t="s">
        <v>27</v>
      </c>
      <c r="D179" s="25" t="s">
        <v>426</v>
      </c>
      <c r="E179" s="25" t="str">
        <f t="shared" si="18"/>
        <v>F02</v>
      </c>
      <c r="F179" s="25" t="str">
        <f t="shared" si="19"/>
        <v>T0</v>
      </c>
      <c r="G179" s="25" t="str">
        <f t="shared" si="20"/>
        <v>03</v>
      </c>
      <c r="H179" s="25" t="str">
        <f t="shared" si="21"/>
        <v>0130</v>
      </c>
      <c r="I179" s="25" t="str">
        <f t="shared" si="22"/>
        <v/>
      </c>
      <c r="J179" s="25" t="str">
        <f t="shared" si="23"/>
        <v>r</v>
      </c>
      <c r="K179" s="25" t="str">
        <f t="shared" si="24"/>
        <v>01</v>
      </c>
      <c r="L179" s="25" t="str">
        <f t="shared" si="25"/>
        <v>F02T0010130</v>
      </c>
      <c r="M179" s="25" t="s">
        <v>779</v>
      </c>
    </row>
    <row r="180" spans="1:13" x14ac:dyDescent="0.25">
      <c r="A180" s="25">
        <v>81</v>
      </c>
      <c r="B180" s="25" t="s">
        <v>427</v>
      </c>
      <c r="C180" s="25" t="s">
        <v>27</v>
      </c>
      <c r="D180" s="25" t="s">
        <v>428</v>
      </c>
      <c r="E180" s="25" t="str">
        <f t="shared" si="18"/>
        <v>F02</v>
      </c>
      <c r="F180" s="25" t="str">
        <f t="shared" si="19"/>
        <v>T0</v>
      </c>
      <c r="G180" s="25" t="str">
        <f t="shared" si="20"/>
        <v>03</v>
      </c>
      <c r="H180" s="25" t="str">
        <f t="shared" si="21"/>
        <v>0150</v>
      </c>
      <c r="I180" s="25" t="str">
        <f t="shared" si="22"/>
        <v/>
      </c>
      <c r="J180" s="25" t="str">
        <f t="shared" si="23"/>
        <v>r</v>
      </c>
      <c r="K180" s="25" t="str">
        <f t="shared" si="24"/>
        <v>01</v>
      </c>
      <c r="L180" s="25" t="str">
        <f t="shared" si="25"/>
        <v>F02T0010150</v>
      </c>
      <c r="M180" s="25" t="s">
        <v>780</v>
      </c>
    </row>
    <row r="181" spans="1:13" x14ac:dyDescent="0.25">
      <c r="A181" s="25">
        <v>81</v>
      </c>
      <c r="B181" s="25" t="s">
        <v>429</v>
      </c>
      <c r="C181" s="25" t="s">
        <v>27</v>
      </c>
      <c r="D181" s="25" t="s">
        <v>430</v>
      </c>
      <c r="E181" s="25" t="str">
        <f t="shared" si="18"/>
        <v>F02</v>
      </c>
      <c r="F181" s="25" t="str">
        <f t="shared" si="19"/>
        <v>T0</v>
      </c>
      <c r="G181" s="25" t="str">
        <f t="shared" si="20"/>
        <v>03</v>
      </c>
      <c r="H181" s="25" t="str">
        <f t="shared" si="21"/>
        <v>0170</v>
      </c>
      <c r="I181" s="25" t="str">
        <f t="shared" si="22"/>
        <v/>
      </c>
      <c r="J181" s="25" t="str">
        <f t="shared" si="23"/>
        <v>r</v>
      </c>
      <c r="K181" s="25" t="str">
        <f t="shared" si="24"/>
        <v>01</v>
      </c>
      <c r="L181" s="25" t="str">
        <f t="shared" si="25"/>
        <v>F02T0010170</v>
      </c>
      <c r="M181" s="25" t="s">
        <v>781</v>
      </c>
    </row>
    <row r="182" spans="1:13" x14ac:dyDescent="0.25">
      <c r="A182" s="25">
        <v>81</v>
      </c>
      <c r="B182" s="25" t="s">
        <v>431</v>
      </c>
      <c r="C182" s="25" t="s">
        <v>27</v>
      </c>
      <c r="D182" s="25" t="s">
        <v>432</v>
      </c>
      <c r="E182" s="25" t="str">
        <f t="shared" si="18"/>
        <v>F02</v>
      </c>
      <c r="F182" s="25" t="str">
        <f t="shared" si="19"/>
        <v>T0</v>
      </c>
      <c r="G182" s="25" t="str">
        <f t="shared" si="20"/>
        <v>03</v>
      </c>
      <c r="H182" s="25" t="str">
        <f t="shared" si="21"/>
        <v>0200</v>
      </c>
      <c r="I182" s="25" t="str">
        <f t="shared" si="22"/>
        <v/>
      </c>
      <c r="J182" s="25" t="str">
        <f t="shared" si="23"/>
        <v>r</v>
      </c>
      <c r="K182" s="25" t="str">
        <f t="shared" si="24"/>
        <v>01</v>
      </c>
      <c r="L182" s="25" t="str">
        <f t="shared" si="25"/>
        <v>F02T0010200</v>
      </c>
      <c r="M182" s="25" t="s">
        <v>782</v>
      </c>
    </row>
    <row r="183" spans="1:13" x14ac:dyDescent="0.25">
      <c r="A183" s="25">
        <v>81</v>
      </c>
      <c r="B183" s="25" t="s">
        <v>433</v>
      </c>
      <c r="C183" s="25" t="s">
        <v>27</v>
      </c>
      <c r="D183" s="25" t="s">
        <v>434</v>
      </c>
      <c r="E183" s="25" t="str">
        <f t="shared" si="18"/>
        <v>F02</v>
      </c>
      <c r="F183" s="25" t="str">
        <f t="shared" si="19"/>
        <v>T0</v>
      </c>
      <c r="G183" s="25" t="str">
        <f t="shared" si="20"/>
        <v>03</v>
      </c>
      <c r="H183" s="25" t="str">
        <f t="shared" si="21"/>
        <v>0230</v>
      </c>
      <c r="I183" s="25" t="str">
        <f t="shared" si="22"/>
        <v/>
      </c>
      <c r="J183" s="25" t="str">
        <f t="shared" si="23"/>
        <v>r</v>
      </c>
      <c r="K183" s="25" t="str">
        <f t="shared" si="24"/>
        <v>01</v>
      </c>
      <c r="L183" s="25" t="str">
        <f t="shared" si="25"/>
        <v>F02T0010230</v>
      </c>
      <c r="M183" s="25" t="s">
        <v>783</v>
      </c>
    </row>
    <row r="184" spans="1:13" x14ac:dyDescent="0.25">
      <c r="A184" s="25">
        <v>81</v>
      </c>
      <c r="B184" s="25" t="s">
        <v>435</v>
      </c>
      <c r="C184" s="25" t="s">
        <v>27</v>
      </c>
      <c r="D184" s="25" t="s">
        <v>436</v>
      </c>
      <c r="E184" s="25" t="str">
        <f t="shared" si="18"/>
        <v>F02</v>
      </c>
      <c r="F184" s="25" t="str">
        <f t="shared" si="19"/>
        <v>T0</v>
      </c>
      <c r="G184" s="25" t="str">
        <f t="shared" si="20"/>
        <v>03</v>
      </c>
      <c r="H184" s="25" t="str">
        <f t="shared" si="21"/>
        <v>0300</v>
      </c>
      <c r="I184" s="25" t="str">
        <f t="shared" si="22"/>
        <v/>
      </c>
      <c r="J184" s="25" t="str">
        <f t="shared" si="23"/>
        <v>r</v>
      </c>
      <c r="K184" s="25" t="str">
        <f t="shared" si="24"/>
        <v>01</v>
      </c>
      <c r="L184" s="25" t="str">
        <f t="shared" si="25"/>
        <v>F02T0010300</v>
      </c>
      <c r="M184" s="25" t="s">
        <v>784</v>
      </c>
    </row>
    <row r="185" spans="1:13" x14ac:dyDescent="0.25">
      <c r="A185" s="25">
        <v>81</v>
      </c>
      <c r="B185" s="25" t="s">
        <v>437</v>
      </c>
      <c r="C185" s="25" t="s">
        <v>27</v>
      </c>
      <c r="D185" s="25" t="s">
        <v>438</v>
      </c>
      <c r="E185" s="25" t="str">
        <f t="shared" si="18"/>
        <v>F02</v>
      </c>
      <c r="F185" s="25" t="str">
        <f t="shared" si="19"/>
        <v>T0</v>
      </c>
      <c r="G185" s="25" t="str">
        <f t="shared" si="20"/>
        <v>03</v>
      </c>
      <c r="H185" s="25" t="str">
        <f t="shared" si="21"/>
        <v>0450</v>
      </c>
      <c r="I185" s="25" t="str">
        <f t="shared" si="22"/>
        <v/>
      </c>
      <c r="J185" s="25" t="str">
        <f t="shared" si="23"/>
        <v>r</v>
      </c>
      <c r="K185" s="25" t="str">
        <f t="shared" si="24"/>
        <v>01</v>
      </c>
      <c r="L185" s="25" t="str">
        <f t="shared" si="25"/>
        <v>F02T0010450</v>
      </c>
      <c r="M185" s="25" t="s">
        <v>785</v>
      </c>
    </row>
    <row r="186" spans="1:13" x14ac:dyDescent="0.25">
      <c r="A186" s="25">
        <v>81</v>
      </c>
      <c r="B186" s="25" t="s">
        <v>439</v>
      </c>
      <c r="C186" s="25" t="s">
        <v>27</v>
      </c>
      <c r="D186" s="25" t="s">
        <v>440</v>
      </c>
      <c r="E186" s="25" t="str">
        <f t="shared" si="18"/>
        <v>F02</v>
      </c>
      <c r="F186" s="25" t="str">
        <f t="shared" si="19"/>
        <v>T0</v>
      </c>
      <c r="G186" s="25" t="str">
        <f t="shared" si="20"/>
        <v>03</v>
      </c>
      <c r="H186" s="25" t="str">
        <f t="shared" si="21"/>
        <v>0500</v>
      </c>
      <c r="I186" s="25" t="str">
        <f t="shared" si="22"/>
        <v/>
      </c>
      <c r="J186" s="25" t="str">
        <f t="shared" si="23"/>
        <v>r</v>
      </c>
      <c r="K186" s="25" t="str">
        <f t="shared" si="24"/>
        <v>01</v>
      </c>
      <c r="L186" s="25" t="str">
        <f t="shared" si="25"/>
        <v>F02T0010500</v>
      </c>
      <c r="M186" s="25" t="s">
        <v>786</v>
      </c>
    </row>
    <row r="187" spans="1:13" x14ac:dyDescent="0.25">
      <c r="A187" s="25">
        <v>81</v>
      </c>
      <c r="B187" s="25" t="s">
        <v>441</v>
      </c>
      <c r="C187" s="25" t="s">
        <v>27</v>
      </c>
      <c r="D187" s="25" t="s">
        <v>442</v>
      </c>
      <c r="E187" s="25" t="str">
        <f t="shared" si="18"/>
        <v>F02</v>
      </c>
      <c r="F187" s="25" t="str">
        <f t="shared" si="19"/>
        <v>T0</v>
      </c>
      <c r="G187" s="25" t="str">
        <f t="shared" si="20"/>
        <v>04</v>
      </c>
      <c r="H187" s="25" t="str">
        <f t="shared" si="21"/>
        <v>0250</v>
      </c>
      <c r="I187" s="25" t="str">
        <f t="shared" si="22"/>
        <v/>
      </c>
      <c r="J187" s="25" t="str">
        <f t="shared" si="23"/>
        <v/>
      </c>
      <c r="K187" s="25" t="str">
        <f t="shared" si="24"/>
        <v>04</v>
      </c>
      <c r="L187" s="25" t="str">
        <f t="shared" si="25"/>
        <v>F02T0040250</v>
      </c>
      <c r="M187" s="25" t="s">
        <v>787</v>
      </c>
    </row>
    <row r="188" spans="1:13" x14ac:dyDescent="0.25">
      <c r="A188" s="25">
        <v>81</v>
      </c>
      <c r="B188" s="25" t="s">
        <v>445</v>
      </c>
      <c r="C188" s="25" t="s">
        <v>27</v>
      </c>
      <c r="D188" s="25" t="s">
        <v>446</v>
      </c>
      <c r="E188" s="25" t="str">
        <f t="shared" si="18"/>
        <v>F03</v>
      </c>
      <c r="F188" s="25" t="str">
        <f t="shared" si="19"/>
        <v>DN</v>
      </c>
      <c r="G188" s="25" t="str">
        <f t="shared" si="20"/>
        <v>02</v>
      </c>
      <c r="H188" s="25" t="str">
        <f t="shared" si="21"/>
        <v>0100</v>
      </c>
      <c r="I188" s="25" t="str">
        <f t="shared" si="22"/>
        <v/>
      </c>
      <c r="J188" s="25" t="str">
        <f t="shared" si="23"/>
        <v/>
      </c>
      <c r="K188" s="25" t="str">
        <f t="shared" si="24"/>
        <v>02</v>
      </c>
      <c r="L188" s="25" t="str">
        <f t="shared" si="25"/>
        <v>F03DN020100</v>
      </c>
      <c r="M188" s="25" t="s">
        <v>788</v>
      </c>
    </row>
    <row r="189" spans="1:13" x14ac:dyDescent="0.25">
      <c r="A189" s="25">
        <v>81</v>
      </c>
      <c r="B189" s="25" t="s">
        <v>447</v>
      </c>
      <c r="C189" s="25" t="s">
        <v>27</v>
      </c>
      <c r="D189" s="25" t="s">
        <v>448</v>
      </c>
      <c r="E189" s="25" t="str">
        <f t="shared" si="18"/>
        <v>F03</v>
      </c>
      <c r="F189" s="25" t="str">
        <f t="shared" si="19"/>
        <v>DN</v>
      </c>
      <c r="G189" s="25" t="str">
        <f t="shared" si="20"/>
        <v>02</v>
      </c>
      <c r="H189" s="25" t="str">
        <f t="shared" si="21"/>
        <v>0170</v>
      </c>
      <c r="I189" s="25" t="str">
        <f t="shared" si="22"/>
        <v/>
      </c>
      <c r="J189" s="25" t="str">
        <f t="shared" si="23"/>
        <v/>
      </c>
      <c r="K189" s="25" t="str">
        <f t="shared" si="24"/>
        <v>02</v>
      </c>
      <c r="L189" s="25" t="str">
        <f t="shared" si="25"/>
        <v>F03DN020170</v>
      </c>
      <c r="M189" s="25" t="s">
        <v>789</v>
      </c>
    </row>
    <row r="190" spans="1:13" x14ac:dyDescent="0.25">
      <c r="A190" s="25">
        <v>81</v>
      </c>
      <c r="B190" s="25" t="s">
        <v>449</v>
      </c>
      <c r="C190" s="25" t="s">
        <v>27</v>
      </c>
      <c r="D190" s="25" t="s">
        <v>450</v>
      </c>
      <c r="E190" s="25" t="str">
        <f t="shared" si="18"/>
        <v>F03</v>
      </c>
      <c r="F190" s="25" t="str">
        <f t="shared" si="19"/>
        <v>DN</v>
      </c>
      <c r="G190" s="25" t="str">
        <f t="shared" si="20"/>
        <v>02</v>
      </c>
      <c r="H190" s="25" t="str">
        <f t="shared" si="21"/>
        <v>0250</v>
      </c>
      <c r="I190" s="25" t="str">
        <f t="shared" si="22"/>
        <v/>
      </c>
      <c r="J190" s="25" t="str">
        <f t="shared" si="23"/>
        <v/>
      </c>
      <c r="K190" s="25" t="str">
        <f t="shared" si="24"/>
        <v>02</v>
      </c>
      <c r="L190" s="25" t="str">
        <f t="shared" si="25"/>
        <v>F03DN020250</v>
      </c>
      <c r="M190" s="25" t="s">
        <v>790</v>
      </c>
    </row>
    <row r="191" spans="1:13" x14ac:dyDescent="0.25">
      <c r="A191" s="25">
        <v>81</v>
      </c>
      <c r="B191" s="25" t="s">
        <v>451</v>
      </c>
      <c r="C191" s="25" t="s">
        <v>27</v>
      </c>
      <c r="D191" s="25" t="s">
        <v>452</v>
      </c>
      <c r="E191" s="25" t="str">
        <f t="shared" si="18"/>
        <v>F03</v>
      </c>
      <c r="F191" s="25" t="str">
        <f t="shared" si="19"/>
        <v>DN</v>
      </c>
      <c r="G191" s="25" t="str">
        <f t="shared" si="20"/>
        <v>02</v>
      </c>
      <c r="H191" s="25" t="str">
        <f t="shared" si="21"/>
        <v>0280</v>
      </c>
      <c r="I191" s="25" t="str">
        <f t="shared" si="22"/>
        <v/>
      </c>
      <c r="J191" s="25" t="str">
        <f t="shared" si="23"/>
        <v/>
      </c>
      <c r="K191" s="25" t="str">
        <f t="shared" si="24"/>
        <v>02</v>
      </c>
      <c r="L191" s="25" t="str">
        <f t="shared" si="25"/>
        <v>F03DN020280</v>
      </c>
      <c r="M191" s="25" t="s">
        <v>791</v>
      </c>
    </row>
    <row r="192" spans="1:13" x14ac:dyDescent="0.25">
      <c r="A192" s="25">
        <v>81</v>
      </c>
      <c r="B192" s="25" t="s">
        <v>453</v>
      </c>
      <c r="C192" s="25" t="s">
        <v>27</v>
      </c>
      <c r="D192" s="25" t="s">
        <v>454</v>
      </c>
      <c r="E192" s="25" t="str">
        <f t="shared" si="18"/>
        <v>F03</v>
      </c>
      <c r="F192" s="25" t="str">
        <f t="shared" si="19"/>
        <v>DN</v>
      </c>
      <c r="G192" s="25" t="str">
        <f t="shared" si="20"/>
        <v>02</v>
      </c>
      <c r="H192" s="25" t="str">
        <f t="shared" si="21"/>
        <v>0500</v>
      </c>
      <c r="I192" s="25" t="str">
        <f t="shared" si="22"/>
        <v/>
      </c>
      <c r="J192" s="25" t="str">
        <f t="shared" si="23"/>
        <v/>
      </c>
      <c r="K192" s="25" t="str">
        <f t="shared" si="24"/>
        <v>02</v>
      </c>
      <c r="L192" s="25" t="str">
        <f t="shared" si="25"/>
        <v>F03DN020500</v>
      </c>
      <c r="M192" s="25" t="s">
        <v>792</v>
      </c>
    </row>
    <row r="193" spans="1:13" x14ac:dyDescent="0.25">
      <c r="A193" s="25">
        <v>81</v>
      </c>
      <c r="B193" s="25" t="s">
        <v>455</v>
      </c>
      <c r="C193" s="25" t="s">
        <v>27</v>
      </c>
      <c r="D193" s="25" t="s">
        <v>456</v>
      </c>
      <c r="E193" s="25" t="str">
        <f t="shared" si="18"/>
        <v>F03</v>
      </c>
      <c r="F193" s="25" t="str">
        <f t="shared" si="19"/>
        <v>DN</v>
      </c>
      <c r="G193" s="25" t="str">
        <f t="shared" si="20"/>
        <v>02</v>
      </c>
      <c r="H193" s="25" t="str">
        <f t="shared" si="21"/>
        <v>1000</v>
      </c>
      <c r="I193" s="25" t="str">
        <f t="shared" si="22"/>
        <v/>
      </c>
      <c r="J193" s="25" t="str">
        <f t="shared" si="23"/>
        <v/>
      </c>
      <c r="K193" s="25" t="str">
        <f t="shared" si="24"/>
        <v>02</v>
      </c>
      <c r="L193" s="25" t="str">
        <f t="shared" si="25"/>
        <v>F03DN021000</v>
      </c>
      <c r="M193" s="25" t="s">
        <v>793</v>
      </c>
    </row>
    <row r="194" spans="1:13" x14ac:dyDescent="0.25">
      <c r="A194" s="25">
        <v>81</v>
      </c>
      <c r="B194" s="25" t="s">
        <v>457</v>
      </c>
      <c r="C194" s="25" t="s">
        <v>27</v>
      </c>
      <c r="D194" s="25" t="s">
        <v>458</v>
      </c>
      <c r="E194" s="25" t="str">
        <f t="shared" si="18"/>
        <v>F03</v>
      </c>
      <c r="F194" s="25" t="str">
        <f t="shared" si="19"/>
        <v>DN</v>
      </c>
      <c r="G194" s="25" t="str">
        <f t="shared" si="20"/>
        <v>03</v>
      </c>
      <c r="H194" s="25" t="str">
        <f t="shared" si="21"/>
        <v>0050</v>
      </c>
      <c r="I194" s="25" t="str">
        <f t="shared" si="22"/>
        <v/>
      </c>
      <c r="J194" s="25" t="str">
        <f t="shared" si="23"/>
        <v>r</v>
      </c>
      <c r="K194" s="25" t="str">
        <f t="shared" si="24"/>
        <v>01</v>
      </c>
      <c r="L194" s="25" t="str">
        <f t="shared" si="25"/>
        <v>F03DN010050</v>
      </c>
      <c r="M194" s="25" t="s">
        <v>794</v>
      </c>
    </row>
    <row r="195" spans="1:13" x14ac:dyDescent="0.25">
      <c r="A195" s="25">
        <v>81</v>
      </c>
      <c r="B195" s="25" t="s">
        <v>459</v>
      </c>
      <c r="C195" s="25" t="s">
        <v>27</v>
      </c>
      <c r="D195" s="25" t="s">
        <v>460</v>
      </c>
      <c r="E195" s="25" t="str">
        <f t="shared" si="18"/>
        <v>F03</v>
      </c>
      <c r="F195" s="25" t="str">
        <f t="shared" si="19"/>
        <v>DN</v>
      </c>
      <c r="G195" s="25" t="str">
        <f t="shared" si="20"/>
        <v>03</v>
      </c>
      <c r="H195" s="25" t="str">
        <f t="shared" si="21"/>
        <v>0150</v>
      </c>
      <c r="I195" s="25" t="str">
        <f t="shared" si="22"/>
        <v/>
      </c>
      <c r="J195" s="25" t="str">
        <f t="shared" si="23"/>
        <v>r</v>
      </c>
      <c r="K195" s="25" t="str">
        <f t="shared" si="24"/>
        <v>01</v>
      </c>
      <c r="L195" s="25" t="str">
        <f t="shared" si="25"/>
        <v>F03DN010150</v>
      </c>
      <c r="M195" s="25" t="s">
        <v>795</v>
      </c>
    </row>
    <row r="196" spans="1:13" x14ac:dyDescent="0.25">
      <c r="A196" s="25">
        <v>81</v>
      </c>
      <c r="B196" s="25" t="s">
        <v>461</v>
      </c>
      <c r="C196" s="25" t="s">
        <v>27</v>
      </c>
      <c r="D196" s="25" t="s">
        <v>462</v>
      </c>
      <c r="E196" s="25" t="str">
        <f t="shared" si="18"/>
        <v>F03</v>
      </c>
      <c r="F196" s="25" t="str">
        <f t="shared" si="19"/>
        <v>DZ</v>
      </c>
      <c r="G196" s="25" t="str">
        <f t="shared" si="20"/>
        <v>02</v>
      </c>
      <c r="H196" s="25" t="str">
        <f t="shared" si="21"/>
        <v>0250</v>
      </c>
      <c r="I196" s="25" t="str">
        <f t="shared" si="22"/>
        <v>x</v>
      </c>
      <c r="J196" s="25" t="str">
        <f t="shared" si="23"/>
        <v/>
      </c>
      <c r="K196" s="25" t="str">
        <f t="shared" si="24"/>
        <v>02</v>
      </c>
      <c r="L196" s="25" t="str">
        <f t="shared" si="25"/>
        <v>DeleteRow</v>
      </c>
      <c r="M196" s="25" t="s">
        <v>796</v>
      </c>
    </row>
    <row r="197" spans="1:13" x14ac:dyDescent="0.25">
      <c r="A197" s="25">
        <v>81</v>
      </c>
      <c r="B197" s="25" t="s">
        <v>463</v>
      </c>
      <c r="C197" s="25" t="s">
        <v>27</v>
      </c>
      <c r="D197" s="25" t="s">
        <v>464</v>
      </c>
      <c r="E197" s="25" t="str">
        <f t="shared" si="18"/>
        <v>F03</v>
      </c>
      <c r="F197" s="25" t="str">
        <f t="shared" si="19"/>
        <v>DZ</v>
      </c>
      <c r="G197" s="25" t="str">
        <f t="shared" si="20"/>
        <v>02</v>
      </c>
      <c r="H197" s="25" t="str">
        <f t="shared" si="21"/>
        <v>1000</v>
      </c>
      <c r="I197" s="25" t="str">
        <f t="shared" si="22"/>
        <v>x</v>
      </c>
      <c r="J197" s="25" t="str">
        <f t="shared" si="23"/>
        <v/>
      </c>
      <c r="K197" s="25" t="str">
        <f t="shared" si="24"/>
        <v>02</v>
      </c>
      <c r="L197" s="25" t="str">
        <f t="shared" si="25"/>
        <v>DeleteRow</v>
      </c>
      <c r="M197" s="25" t="s">
        <v>797</v>
      </c>
    </row>
    <row r="198" spans="1:13" x14ac:dyDescent="0.25">
      <c r="A198" s="25">
        <v>81</v>
      </c>
      <c r="B198" s="25" t="s">
        <v>465</v>
      </c>
      <c r="C198" s="25" t="s">
        <v>27</v>
      </c>
      <c r="D198" s="25" t="s">
        <v>466</v>
      </c>
      <c r="E198" s="25" t="str">
        <f t="shared" si="18"/>
        <v>F03</v>
      </c>
      <c r="F198" s="25" t="str">
        <f t="shared" si="19"/>
        <v>DZ</v>
      </c>
      <c r="G198" s="25" t="str">
        <f t="shared" si="20"/>
        <v>03</v>
      </c>
      <c r="H198" s="25" t="str">
        <f t="shared" si="21"/>
        <v>0150</v>
      </c>
      <c r="I198" s="25" t="str">
        <f t="shared" si="22"/>
        <v>x</v>
      </c>
      <c r="J198" s="25" t="str">
        <f t="shared" si="23"/>
        <v>r</v>
      </c>
      <c r="K198" s="25" t="str">
        <f t="shared" si="24"/>
        <v>01</v>
      </c>
      <c r="L198" s="25" t="str">
        <f t="shared" si="25"/>
        <v>DeleteRow</v>
      </c>
      <c r="M198" s="25" t="s">
        <v>798</v>
      </c>
    </row>
    <row r="199" spans="1:13" x14ac:dyDescent="0.25">
      <c r="A199" s="25">
        <v>81</v>
      </c>
      <c r="B199" s="25" t="s">
        <v>467</v>
      </c>
      <c r="C199" s="25" t="s">
        <v>27</v>
      </c>
      <c r="D199" s="25" t="s">
        <v>468</v>
      </c>
      <c r="E199" s="25" t="str">
        <f t="shared" si="18"/>
        <v>F03</v>
      </c>
      <c r="F199" s="25" t="str">
        <f t="shared" si="19"/>
        <v>I0</v>
      </c>
      <c r="G199" s="25" t="str">
        <f t="shared" si="20"/>
        <v>02</v>
      </c>
      <c r="H199" s="25" t="str">
        <f t="shared" si="21"/>
        <v>0500</v>
      </c>
      <c r="I199" s="25" t="str">
        <f t="shared" si="22"/>
        <v/>
      </c>
      <c r="J199" s="25" t="str">
        <f t="shared" si="23"/>
        <v/>
      </c>
      <c r="K199" s="25" t="str">
        <f t="shared" si="24"/>
        <v>02</v>
      </c>
      <c r="L199" s="25" t="str">
        <f t="shared" si="25"/>
        <v>F03I0020500</v>
      </c>
      <c r="M199" s="25" t="s">
        <v>799</v>
      </c>
    </row>
    <row r="200" spans="1:13" x14ac:dyDescent="0.25">
      <c r="A200" s="25">
        <v>81</v>
      </c>
      <c r="B200" s="25" t="s">
        <v>469</v>
      </c>
      <c r="C200" s="25" t="s">
        <v>27</v>
      </c>
      <c r="D200" s="25" t="s">
        <v>470</v>
      </c>
      <c r="E200" s="25" t="str">
        <f t="shared" si="18"/>
        <v>F03</v>
      </c>
      <c r="F200" s="25" t="str">
        <f t="shared" si="19"/>
        <v>I0</v>
      </c>
      <c r="G200" s="25" t="str">
        <f t="shared" si="20"/>
        <v>02</v>
      </c>
      <c r="H200" s="25" t="str">
        <f t="shared" si="21"/>
        <v>1000</v>
      </c>
      <c r="I200" s="25" t="str">
        <f t="shared" si="22"/>
        <v/>
      </c>
      <c r="J200" s="25" t="str">
        <f t="shared" si="23"/>
        <v/>
      </c>
      <c r="K200" s="25" t="str">
        <f t="shared" si="24"/>
        <v>02</v>
      </c>
      <c r="L200" s="25" t="str">
        <f t="shared" si="25"/>
        <v>F03I0021000</v>
      </c>
      <c r="M200" s="25" t="s">
        <v>800</v>
      </c>
    </row>
    <row r="201" spans="1:13" x14ac:dyDescent="0.25">
      <c r="A201" s="25">
        <v>81</v>
      </c>
      <c r="B201" s="25" t="s">
        <v>471</v>
      </c>
      <c r="C201" s="25" t="s">
        <v>27</v>
      </c>
      <c r="D201" s="25" t="s">
        <v>472</v>
      </c>
      <c r="E201" s="25" t="str">
        <f t="shared" si="18"/>
        <v>F03</v>
      </c>
      <c r="F201" s="25" t="str">
        <f t="shared" si="19"/>
        <v>LT</v>
      </c>
      <c r="G201" s="25" t="str">
        <f t="shared" si="20"/>
        <v>02</v>
      </c>
      <c r="H201" s="25" t="str">
        <f t="shared" si="21"/>
        <v>0250</v>
      </c>
      <c r="I201" s="25" t="str">
        <f t="shared" si="22"/>
        <v/>
      </c>
      <c r="J201" s="25" t="str">
        <f t="shared" si="23"/>
        <v/>
      </c>
      <c r="K201" s="25" t="str">
        <f t="shared" si="24"/>
        <v>02</v>
      </c>
      <c r="L201" s="25" t="str">
        <f t="shared" si="25"/>
        <v>F03LT020250</v>
      </c>
      <c r="M201" s="25" t="s">
        <v>801</v>
      </c>
    </row>
    <row r="202" spans="1:13" x14ac:dyDescent="0.25">
      <c r="A202" s="25">
        <v>81</v>
      </c>
      <c r="B202" s="25" t="s">
        <v>473</v>
      </c>
      <c r="C202" s="25" t="s">
        <v>27</v>
      </c>
      <c r="D202" s="25" t="s">
        <v>474</v>
      </c>
      <c r="E202" s="25" t="str">
        <f t="shared" si="18"/>
        <v>F03</v>
      </c>
      <c r="F202" s="25" t="str">
        <f t="shared" si="19"/>
        <v>LT</v>
      </c>
      <c r="G202" s="25" t="str">
        <f t="shared" si="20"/>
        <v>02</v>
      </c>
      <c r="H202" s="25" t="str">
        <f t="shared" si="21"/>
        <v>1000</v>
      </c>
      <c r="I202" s="25" t="str">
        <f t="shared" si="22"/>
        <v/>
      </c>
      <c r="J202" s="25" t="str">
        <f t="shared" si="23"/>
        <v/>
      </c>
      <c r="K202" s="25" t="str">
        <f t="shared" si="24"/>
        <v>02</v>
      </c>
      <c r="L202" s="25" t="str">
        <f t="shared" si="25"/>
        <v>F03LT021000</v>
      </c>
      <c r="M202" s="25" t="s">
        <v>802</v>
      </c>
    </row>
    <row r="203" spans="1:13" x14ac:dyDescent="0.25">
      <c r="A203" s="25">
        <v>81</v>
      </c>
      <c r="B203" s="25" t="s">
        <v>475</v>
      </c>
      <c r="C203" s="25" t="s">
        <v>27</v>
      </c>
      <c r="D203" s="25" t="s">
        <v>476</v>
      </c>
      <c r="E203" s="25" t="str">
        <f t="shared" si="18"/>
        <v>F03</v>
      </c>
      <c r="F203" s="25" t="str">
        <f t="shared" si="19"/>
        <v>T0</v>
      </c>
      <c r="G203" s="25" t="str">
        <f t="shared" si="20"/>
        <v>02</v>
      </c>
      <c r="H203" s="25" t="str">
        <f t="shared" si="21"/>
        <v>0100</v>
      </c>
      <c r="I203" s="25" t="str">
        <f t="shared" si="22"/>
        <v/>
      </c>
      <c r="J203" s="25" t="str">
        <f t="shared" si="23"/>
        <v/>
      </c>
      <c r="K203" s="25" t="str">
        <f t="shared" si="24"/>
        <v>02</v>
      </c>
      <c r="L203" s="25" t="str">
        <f t="shared" si="25"/>
        <v>F03T0020100</v>
      </c>
      <c r="M203" s="25" t="s">
        <v>803</v>
      </c>
    </row>
    <row r="204" spans="1:13" x14ac:dyDescent="0.25">
      <c r="A204" s="25">
        <v>81</v>
      </c>
      <c r="B204" s="25" t="s">
        <v>477</v>
      </c>
      <c r="C204" s="25" t="s">
        <v>27</v>
      </c>
      <c r="D204" s="25" t="s">
        <v>478</v>
      </c>
      <c r="E204" s="25" t="str">
        <f t="shared" si="18"/>
        <v>F03</v>
      </c>
      <c r="F204" s="25" t="str">
        <f t="shared" si="19"/>
        <v>T0</v>
      </c>
      <c r="G204" s="25" t="str">
        <f t="shared" si="20"/>
        <v>02</v>
      </c>
      <c r="H204" s="25" t="str">
        <f t="shared" si="21"/>
        <v>0170</v>
      </c>
      <c r="I204" s="25" t="str">
        <f t="shared" si="22"/>
        <v/>
      </c>
      <c r="J204" s="25" t="str">
        <f t="shared" si="23"/>
        <v/>
      </c>
      <c r="K204" s="25" t="str">
        <f t="shared" si="24"/>
        <v>02</v>
      </c>
      <c r="L204" s="25" t="str">
        <f t="shared" si="25"/>
        <v>F03T0020170</v>
      </c>
      <c r="M204" s="25" t="s">
        <v>804</v>
      </c>
    </row>
    <row r="205" spans="1:13" x14ac:dyDescent="0.25">
      <c r="A205" s="25">
        <v>81</v>
      </c>
      <c r="B205" s="25" t="s">
        <v>479</v>
      </c>
      <c r="C205" s="25" t="s">
        <v>27</v>
      </c>
      <c r="D205" s="25" t="s">
        <v>480</v>
      </c>
      <c r="E205" s="25" t="str">
        <f t="shared" si="18"/>
        <v>F03</v>
      </c>
      <c r="F205" s="25" t="str">
        <f t="shared" si="19"/>
        <v>T0</v>
      </c>
      <c r="G205" s="25" t="str">
        <f t="shared" si="20"/>
        <v>02</v>
      </c>
      <c r="H205" s="25" t="str">
        <f t="shared" si="21"/>
        <v>0200</v>
      </c>
      <c r="I205" s="25" t="str">
        <f t="shared" si="22"/>
        <v/>
      </c>
      <c r="J205" s="25" t="str">
        <f t="shared" si="23"/>
        <v/>
      </c>
      <c r="K205" s="25" t="str">
        <f t="shared" si="24"/>
        <v>02</v>
      </c>
      <c r="L205" s="25" t="str">
        <f t="shared" si="25"/>
        <v>F03T0020200</v>
      </c>
      <c r="M205" s="25" t="s">
        <v>805</v>
      </c>
    </row>
    <row r="206" spans="1:13" x14ac:dyDescent="0.25">
      <c r="A206" s="25">
        <v>81</v>
      </c>
      <c r="B206" s="25" t="s">
        <v>481</v>
      </c>
      <c r="C206" s="25" t="s">
        <v>27</v>
      </c>
      <c r="D206" s="25" t="s">
        <v>482</v>
      </c>
      <c r="E206" s="25" t="str">
        <f t="shared" si="18"/>
        <v>F03</v>
      </c>
      <c r="F206" s="25" t="str">
        <f t="shared" si="19"/>
        <v>T0</v>
      </c>
      <c r="G206" s="25" t="str">
        <f t="shared" si="20"/>
        <v>02</v>
      </c>
      <c r="H206" s="25" t="str">
        <f t="shared" si="21"/>
        <v>0250</v>
      </c>
      <c r="I206" s="25" t="str">
        <f t="shared" si="22"/>
        <v/>
      </c>
      <c r="J206" s="25" t="str">
        <f t="shared" si="23"/>
        <v/>
      </c>
      <c r="K206" s="25" t="str">
        <f t="shared" si="24"/>
        <v>02</v>
      </c>
      <c r="L206" s="25" t="str">
        <f t="shared" si="25"/>
        <v>F03T0020250</v>
      </c>
      <c r="M206" s="25" t="s">
        <v>806</v>
      </c>
    </row>
    <row r="207" spans="1:13" x14ac:dyDescent="0.25">
      <c r="A207" s="25">
        <v>81</v>
      </c>
      <c r="B207" s="25" t="s">
        <v>483</v>
      </c>
      <c r="C207" s="25" t="s">
        <v>27</v>
      </c>
      <c r="D207" s="25" t="s">
        <v>484</v>
      </c>
      <c r="E207" s="25" t="str">
        <f t="shared" si="18"/>
        <v>F03</v>
      </c>
      <c r="F207" s="25" t="str">
        <f t="shared" si="19"/>
        <v>T0</v>
      </c>
      <c r="G207" s="25" t="str">
        <f t="shared" si="20"/>
        <v>02</v>
      </c>
      <c r="H207" s="25" t="str">
        <f t="shared" si="21"/>
        <v>0500</v>
      </c>
      <c r="I207" s="25" t="str">
        <f t="shared" si="22"/>
        <v/>
      </c>
      <c r="J207" s="25" t="str">
        <f t="shared" si="23"/>
        <v/>
      </c>
      <c r="K207" s="25" t="str">
        <f t="shared" si="24"/>
        <v>02</v>
      </c>
      <c r="L207" s="25" t="str">
        <f t="shared" si="25"/>
        <v>F03T0020500</v>
      </c>
      <c r="M207" s="25" t="s">
        <v>807</v>
      </c>
    </row>
    <row r="208" spans="1:13" x14ac:dyDescent="0.25">
      <c r="A208" s="25">
        <v>81</v>
      </c>
      <c r="B208" s="25" t="s">
        <v>485</v>
      </c>
      <c r="C208" s="25" t="s">
        <v>27</v>
      </c>
      <c r="D208" s="25" t="s">
        <v>486</v>
      </c>
      <c r="E208" s="25" t="str">
        <f t="shared" si="18"/>
        <v>F03</v>
      </c>
      <c r="F208" s="25" t="str">
        <f t="shared" si="19"/>
        <v>T0</v>
      </c>
      <c r="G208" s="25" t="str">
        <f t="shared" si="20"/>
        <v>02</v>
      </c>
      <c r="H208" s="25" t="str">
        <f t="shared" si="21"/>
        <v>1000</v>
      </c>
      <c r="I208" s="25" t="str">
        <f t="shared" si="22"/>
        <v/>
      </c>
      <c r="J208" s="25" t="str">
        <f t="shared" si="23"/>
        <v/>
      </c>
      <c r="K208" s="25" t="str">
        <f t="shared" si="24"/>
        <v>02</v>
      </c>
      <c r="L208" s="25" t="str">
        <f t="shared" si="25"/>
        <v>F03T0021000</v>
      </c>
      <c r="M208" s="25" t="s">
        <v>808</v>
      </c>
    </row>
    <row r="209" spans="1:13" x14ac:dyDescent="0.25">
      <c r="A209" s="25">
        <v>81</v>
      </c>
      <c r="B209" s="25" t="s">
        <v>487</v>
      </c>
      <c r="C209" s="25" t="s">
        <v>27</v>
      </c>
      <c r="D209" s="25" t="s">
        <v>488</v>
      </c>
      <c r="E209" s="25" t="str">
        <f t="shared" ref="E209:E257" si="26">RIGHT(LEFT(B209,6),3)</f>
        <v>F03</v>
      </c>
      <c r="F209" s="25" t="str">
        <f t="shared" ref="F209:F257" si="27">RIGHT(LEFT(B209,9),2)</f>
        <v>T0</v>
      </c>
      <c r="G209" s="25" t="str">
        <f t="shared" ref="G209:G257" si="28">RIGHT(LEFT(B209,11),2)</f>
        <v>03</v>
      </c>
      <c r="H209" s="25" t="str">
        <f t="shared" ref="H209:H257" si="29">RIGHT(LEFT(B209,15),4)</f>
        <v>0050</v>
      </c>
      <c r="I209" s="25" t="str">
        <f t="shared" ref="I209:I257" si="30">IF(OR(F209="DV",F209="DZ"),"x","")</f>
        <v/>
      </c>
      <c r="J209" s="25" t="str">
        <f t="shared" ref="J209:J257" si="31">IF(G209="05","x",IF(G209="03","r",""))</f>
        <v>r</v>
      </c>
      <c r="K209" s="25" t="str">
        <f t="shared" ref="K209:K257" si="32">IF(J209="r","01",G209)</f>
        <v>01</v>
      </c>
      <c r="L209" s="25" t="str">
        <f t="shared" ref="L209:L257" si="33">IF(OR(I209="x",J209="x"),"DeleteRow",E209&amp;F209&amp;K209&amp;H209)</f>
        <v>F03T0010050</v>
      </c>
      <c r="M209" s="25" t="s">
        <v>809</v>
      </c>
    </row>
    <row r="210" spans="1:13" x14ac:dyDescent="0.25">
      <c r="A210" s="25">
        <v>81</v>
      </c>
      <c r="B210" s="25" t="s">
        <v>489</v>
      </c>
      <c r="C210" s="25" t="s">
        <v>27</v>
      </c>
      <c r="D210" s="25" t="s">
        <v>490</v>
      </c>
      <c r="E210" s="25" t="str">
        <f t="shared" si="26"/>
        <v>F03</v>
      </c>
      <c r="F210" s="25" t="str">
        <f t="shared" si="27"/>
        <v>T0</v>
      </c>
      <c r="G210" s="25" t="str">
        <f t="shared" si="28"/>
        <v>03</v>
      </c>
      <c r="H210" s="25" t="str">
        <f t="shared" si="29"/>
        <v>0200</v>
      </c>
      <c r="I210" s="25" t="str">
        <f t="shared" si="30"/>
        <v/>
      </c>
      <c r="J210" s="25" t="str">
        <f t="shared" si="31"/>
        <v>r</v>
      </c>
      <c r="K210" s="25" t="str">
        <f t="shared" si="32"/>
        <v>01</v>
      </c>
      <c r="L210" s="25" t="str">
        <f t="shared" si="33"/>
        <v>F03T0010200</v>
      </c>
      <c r="M210" s="25" t="s">
        <v>810</v>
      </c>
    </row>
    <row r="211" spans="1:13" x14ac:dyDescent="0.25">
      <c r="A211" s="25">
        <v>81</v>
      </c>
      <c r="B211" s="25" t="s">
        <v>491</v>
      </c>
      <c r="C211" s="25" t="s">
        <v>27</v>
      </c>
      <c r="D211" s="25" t="s">
        <v>492</v>
      </c>
      <c r="E211" s="25" t="str">
        <f t="shared" si="26"/>
        <v>F03</v>
      </c>
      <c r="F211" s="25" t="str">
        <f t="shared" si="27"/>
        <v>T0</v>
      </c>
      <c r="G211" s="25" t="str">
        <f t="shared" si="28"/>
        <v>03</v>
      </c>
      <c r="H211" s="25" t="str">
        <f t="shared" si="29"/>
        <v>1000</v>
      </c>
      <c r="I211" s="25" t="str">
        <f t="shared" si="30"/>
        <v/>
      </c>
      <c r="J211" s="25" t="str">
        <f t="shared" si="31"/>
        <v>r</v>
      </c>
      <c r="K211" s="25" t="str">
        <f t="shared" si="32"/>
        <v>01</v>
      </c>
      <c r="L211" s="25" t="str">
        <f t="shared" si="33"/>
        <v>F03T0011000</v>
      </c>
      <c r="M211" s="25" t="s">
        <v>811</v>
      </c>
    </row>
    <row r="212" spans="1:13" x14ac:dyDescent="0.25">
      <c r="A212" s="25">
        <v>81</v>
      </c>
      <c r="B212" s="25" t="s">
        <v>495</v>
      </c>
      <c r="C212" s="25" t="s">
        <v>27</v>
      </c>
      <c r="D212" s="25" t="s">
        <v>496</v>
      </c>
      <c r="E212" s="25" t="str">
        <f t="shared" si="26"/>
        <v>F04</v>
      </c>
      <c r="F212" s="25" t="str">
        <f t="shared" si="27"/>
        <v>DN</v>
      </c>
      <c r="G212" s="25" t="str">
        <f t="shared" si="28"/>
        <v>02</v>
      </c>
      <c r="H212" s="25" t="str">
        <f t="shared" si="29"/>
        <v>0100</v>
      </c>
      <c r="I212" s="25" t="str">
        <f t="shared" si="30"/>
        <v/>
      </c>
      <c r="J212" s="25" t="str">
        <f t="shared" si="31"/>
        <v/>
      </c>
      <c r="K212" s="25" t="str">
        <f t="shared" si="32"/>
        <v>02</v>
      </c>
      <c r="L212" s="25" t="str">
        <f t="shared" si="33"/>
        <v>F04DN020100</v>
      </c>
      <c r="M212" s="25" t="s">
        <v>812</v>
      </c>
    </row>
    <row r="213" spans="1:13" x14ac:dyDescent="0.25">
      <c r="A213" s="25">
        <v>81</v>
      </c>
      <c r="B213" s="25" t="s">
        <v>497</v>
      </c>
      <c r="C213" s="25" t="s">
        <v>27</v>
      </c>
      <c r="D213" s="25" t="s">
        <v>498</v>
      </c>
      <c r="E213" s="25" t="str">
        <f t="shared" si="26"/>
        <v>F04</v>
      </c>
      <c r="F213" s="25" t="str">
        <f t="shared" si="27"/>
        <v>DN</v>
      </c>
      <c r="G213" s="25" t="str">
        <f t="shared" si="28"/>
        <v>02</v>
      </c>
      <c r="H213" s="25" t="str">
        <f t="shared" si="29"/>
        <v>0150</v>
      </c>
      <c r="I213" s="25" t="str">
        <f t="shared" si="30"/>
        <v/>
      </c>
      <c r="J213" s="25" t="str">
        <f t="shared" si="31"/>
        <v/>
      </c>
      <c r="K213" s="25" t="str">
        <f t="shared" si="32"/>
        <v>02</v>
      </c>
      <c r="L213" s="25" t="str">
        <f t="shared" si="33"/>
        <v>F04DN020150</v>
      </c>
      <c r="M213" s="25" t="s">
        <v>813</v>
      </c>
    </row>
    <row r="214" spans="1:13" x14ac:dyDescent="0.25">
      <c r="A214" s="25">
        <v>81</v>
      </c>
      <c r="B214" s="25" t="s">
        <v>499</v>
      </c>
      <c r="C214" s="25" t="s">
        <v>27</v>
      </c>
      <c r="D214" s="25" t="s">
        <v>500</v>
      </c>
      <c r="E214" s="25" t="str">
        <f t="shared" si="26"/>
        <v>F04</v>
      </c>
      <c r="F214" s="25" t="str">
        <f t="shared" si="27"/>
        <v>DN</v>
      </c>
      <c r="G214" s="25" t="str">
        <f t="shared" si="28"/>
        <v>02</v>
      </c>
      <c r="H214" s="25" t="str">
        <f t="shared" si="29"/>
        <v>0170</v>
      </c>
      <c r="I214" s="25" t="str">
        <f t="shared" si="30"/>
        <v/>
      </c>
      <c r="J214" s="25" t="str">
        <f t="shared" si="31"/>
        <v/>
      </c>
      <c r="K214" s="25" t="str">
        <f t="shared" si="32"/>
        <v>02</v>
      </c>
      <c r="L214" s="25" t="str">
        <f t="shared" si="33"/>
        <v>F04DN020170</v>
      </c>
      <c r="M214" s="25" t="s">
        <v>814</v>
      </c>
    </row>
    <row r="215" spans="1:13" x14ac:dyDescent="0.25">
      <c r="A215" s="25">
        <v>81</v>
      </c>
      <c r="B215" s="25" t="s">
        <v>501</v>
      </c>
      <c r="C215" s="25" t="s">
        <v>27</v>
      </c>
      <c r="D215" s="25" t="s">
        <v>502</v>
      </c>
      <c r="E215" s="25" t="str">
        <f t="shared" si="26"/>
        <v>F04</v>
      </c>
      <c r="F215" s="25" t="str">
        <f t="shared" si="27"/>
        <v>DN</v>
      </c>
      <c r="G215" s="25" t="str">
        <f t="shared" si="28"/>
        <v>02</v>
      </c>
      <c r="H215" s="25" t="str">
        <f t="shared" si="29"/>
        <v>0200</v>
      </c>
      <c r="I215" s="25" t="str">
        <f t="shared" si="30"/>
        <v/>
      </c>
      <c r="J215" s="25" t="str">
        <f t="shared" si="31"/>
        <v/>
      </c>
      <c r="K215" s="25" t="str">
        <f t="shared" si="32"/>
        <v>02</v>
      </c>
      <c r="L215" s="25" t="str">
        <f t="shared" si="33"/>
        <v>F04DN020200</v>
      </c>
      <c r="M215" s="25" t="s">
        <v>815</v>
      </c>
    </row>
    <row r="216" spans="1:13" x14ac:dyDescent="0.25">
      <c r="A216" s="25">
        <v>81</v>
      </c>
      <c r="B216" s="25" t="s">
        <v>503</v>
      </c>
      <c r="C216" s="25" t="s">
        <v>27</v>
      </c>
      <c r="D216" s="25" t="s">
        <v>504</v>
      </c>
      <c r="E216" s="25" t="str">
        <f t="shared" si="26"/>
        <v>F04</v>
      </c>
      <c r="F216" s="25" t="str">
        <f t="shared" si="27"/>
        <v>DN</v>
      </c>
      <c r="G216" s="25" t="str">
        <f t="shared" si="28"/>
        <v>02</v>
      </c>
      <c r="H216" s="25" t="str">
        <f t="shared" si="29"/>
        <v>0250</v>
      </c>
      <c r="I216" s="25" t="str">
        <f t="shared" si="30"/>
        <v/>
      </c>
      <c r="J216" s="25" t="str">
        <f t="shared" si="31"/>
        <v/>
      </c>
      <c r="K216" s="25" t="str">
        <f t="shared" si="32"/>
        <v>02</v>
      </c>
      <c r="L216" s="25" t="str">
        <f t="shared" si="33"/>
        <v>F04DN020250</v>
      </c>
      <c r="M216" s="25" t="s">
        <v>816</v>
      </c>
    </row>
    <row r="217" spans="1:13" x14ac:dyDescent="0.25">
      <c r="A217" s="25">
        <v>81</v>
      </c>
      <c r="B217" s="25" t="s">
        <v>505</v>
      </c>
      <c r="C217" s="25" t="s">
        <v>27</v>
      </c>
      <c r="D217" s="25" t="s">
        <v>506</v>
      </c>
      <c r="E217" s="25" t="str">
        <f t="shared" si="26"/>
        <v>F04</v>
      </c>
      <c r="F217" s="25" t="str">
        <f t="shared" si="27"/>
        <v>DN</v>
      </c>
      <c r="G217" s="25" t="str">
        <f t="shared" si="28"/>
        <v>02</v>
      </c>
      <c r="H217" s="25" t="str">
        <f t="shared" si="29"/>
        <v>0500</v>
      </c>
      <c r="I217" s="25" t="str">
        <f t="shared" si="30"/>
        <v/>
      </c>
      <c r="J217" s="25" t="str">
        <f t="shared" si="31"/>
        <v/>
      </c>
      <c r="K217" s="25" t="str">
        <f t="shared" si="32"/>
        <v>02</v>
      </c>
      <c r="L217" s="25" t="str">
        <f t="shared" si="33"/>
        <v>F04DN020500</v>
      </c>
      <c r="M217" s="25" t="s">
        <v>817</v>
      </c>
    </row>
    <row r="218" spans="1:13" x14ac:dyDescent="0.25">
      <c r="A218" s="25">
        <v>81</v>
      </c>
      <c r="B218" s="25" t="s">
        <v>507</v>
      </c>
      <c r="C218" s="25" t="s">
        <v>27</v>
      </c>
      <c r="D218" s="25" t="s">
        <v>508</v>
      </c>
      <c r="E218" s="25" t="str">
        <f t="shared" si="26"/>
        <v>F04</v>
      </c>
      <c r="F218" s="25" t="str">
        <f t="shared" si="27"/>
        <v>DN</v>
      </c>
      <c r="G218" s="25" t="str">
        <f t="shared" si="28"/>
        <v>02</v>
      </c>
      <c r="H218" s="25" t="str">
        <f t="shared" si="29"/>
        <v>1000</v>
      </c>
      <c r="I218" s="25" t="str">
        <f t="shared" si="30"/>
        <v/>
      </c>
      <c r="J218" s="25" t="str">
        <f t="shared" si="31"/>
        <v/>
      </c>
      <c r="K218" s="25" t="str">
        <f t="shared" si="32"/>
        <v>02</v>
      </c>
      <c r="L218" s="25" t="str">
        <f t="shared" si="33"/>
        <v>F04DN021000</v>
      </c>
      <c r="M218" s="25" t="s">
        <v>818</v>
      </c>
    </row>
    <row r="219" spans="1:13" x14ac:dyDescent="0.25">
      <c r="A219" s="25">
        <v>81</v>
      </c>
      <c r="B219" s="25" t="s">
        <v>509</v>
      </c>
      <c r="C219" s="25" t="s">
        <v>27</v>
      </c>
      <c r="D219" s="25" t="s">
        <v>510</v>
      </c>
      <c r="E219" s="25" t="str">
        <f t="shared" si="26"/>
        <v>F04</v>
      </c>
      <c r="F219" s="25" t="str">
        <f t="shared" si="27"/>
        <v>DN</v>
      </c>
      <c r="G219" s="25" t="str">
        <f t="shared" si="28"/>
        <v>03</v>
      </c>
      <c r="H219" s="25" t="str">
        <f t="shared" si="29"/>
        <v>0150</v>
      </c>
      <c r="I219" s="25" t="str">
        <f t="shared" si="30"/>
        <v/>
      </c>
      <c r="J219" s="25" t="str">
        <f t="shared" si="31"/>
        <v>r</v>
      </c>
      <c r="K219" s="25" t="str">
        <f t="shared" si="32"/>
        <v>01</v>
      </c>
      <c r="L219" s="25" t="str">
        <f t="shared" si="33"/>
        <v>F04DN010150</v>
      </c>
      <c r="M219" s="25" t="s">
        <v>819</v>
      </c>
    </row>
    <row r="220" spans="1:13" x14ac:dyDescent="0.25">
      <c r="A220" s="25">
        <v>81</v>
      </c>
      <c r="B220" s="25" t="s">
        <v>511</v>
      </c>
      <c r="C220" s="25" t="s">
        <v>27</v>
      </c>
      <c r="D220" s="25" t="s">
        <v>512</v>
      </c>
      <c r="E220" s="25" t="str">
        <f t="shared" si="26"/>
        <v>F04</v>
      </c>
      <c r="F220" s="25" t="str">
        <f t="shared" si="27"/>
        <v>DN</v>
      </c>
      <c r="G220" s="25" t="str">
        <f t="shared" si="28"/>
        <v>04</v>
      </c>
      <c r="H220" s="25" t="str">
        <f t="shared" si="29"/>
        <v>1000</v>
      </c>
      <c r="I220" s="25" t="str">
        <f t="shared" si="30"/>
        <v/>
      </c>
      <c r="J220" s="25" t="str">
        <f t="shared" si="31"/>
        <v/>
      </c>
      <c r="K220" s="25" t="str">
        <f t="shared" si="32"/>
        <v>04</v>
      </c>
      <c r="L220" s="25" t="str">
        <f t="shared" si="33"/>
        <v>F04DN041000</v>
      </c>
      <c r="M220" s="25" t="s">
        <v>820</v>
      </c>
    </row>
    <row r="221" spans="1:13" x14ac:dyDescent="0.25">
      <c r="A221" s="25">
        <v>81</v>
      </c>
      <c r="B221" s="25" t="s">
        <v>513</v>
      </c>
      <c r="C221" s="25" t="s">
        <v>27</v>
      </c>
      <c r="D221" s="25" t="s">
        <v>514</v>
      </c>
      <c r="E221" s="25" t="str">
        <f t="shared" si="26"/>
        <v>F04</v>
      </c>
      <c r="F221" s="25" t="str">
        <f t="shared" si="27"/>
        <v>DZ</v>
      </c>
      <c r="G221" s="25" t="str">
        <f t="shared" si="28"/>
        <v>02</v>
      </c>
      <c r="H221" s="25" t="str">
        <f t="shared" si="29"/>
        <v>0250</v>
      </c>
      <c r="I221" s="25" t="str">
        <f t="shared" si="30"/>
        <v>x</v>
      </c>
      <c r="J221" s="25" t="str">
        <f t="shared" si="31"/>
        <v/>
      </c>
      <c r="K221" s="25" t="str">
        <f t="shared" si="32"/>
        <v>02</v>
      </c>
      <c r="L221" s="25" t="str">
        <f t="shared" si="33"/>
        <v>DeleteRow</v>
      </c>
      <c r="M221" s="25" t="s">
        <v>821</v>
      </c>
    </row>
    <row r="222" spans="1:13" x14ac:dyDescent="0.25">
      <c r="A222" s="25">
        <v>81</v>
      </c>
      <c r="B222" s="25" t="s">
        <v>515</v>
      </c>
      <c r="C222" s="25" t="s">
        <v>27</v>
      </c>
      <c r="D222" s="25" t="s">
        <v>516</v>
      </c>
      <c r="E222" s="25" t="str">
        <f t="shared" si="26"/>
        <v>F04</v>
      </c>
      <c r="F222" s="25" t="str">
        <f t="shared" si="27"/>
        <v>DZ</v>
      </c>
      <c r="G222" s="25" t="str">
        <f t="shared" si="28"/>
        <v>02</v>
      </c>
      <c r="H222" s="25" t="str">
        <f t="shared" si="29"/>
        <v>1000</v>
      </c>
      <c r="I222" s="25" t="str">
        <f t="shared" si="30"/>
        <v>x</v>
      </c>
      <c r="J222" s="25" t="str">
        <f t="shared" si="31"/>
        <v/>
      </c>
      <c r="K222" s="25" t="str">
        <f t="shared" si="32"/>
        <v>02</v>
      </c>
      <c r="L222" s="25" t="str">
        <f t="shared" si="33"/>
        <v>DeleteRow</v>
      </c>
      <c r="M222" s="25" t="s">
        <v>822</v>
      </c>
    </row>
    <row r="223" spans="1:13" x14ac:dyDescent="0.25">
      <c r="A223" s="25">
        <v>81</v>
      </c>
      <c r="B223" s="25" t="s">
        <v>517</v>
      </c>
      <c r="C223" s="25" t="s">
        <v>27</v>
      </c>
      <c r="D223" s="25" t="s">
        <v>518</v>
      </c>
      <c r="E223" s="25" t="str">
        <f t="shared" si="26"/>
        <v>F04</v>
      </c>
      <c r="F223" s="25" t="str">
        <f t="shared" si="27"/>
        <v>DZ</v>
      </c>
      <c r="G223" s="25" t="str">
        <f t="shared" si="28"/>
        <v>03</v>
      </c>
      <c r="H223" s="25" t="str">
        <f t="shared" si="29"/>
        <v>0150</v>
      </c>
      <c r="I223" s="25" t="str">
        <f t="shared" si="30"/>
        <v>x</v>
      </c>
      <c r="J223" s="25" t="str">
        <f t="shared" si="31"/>
        <v>r</v>
      </c>
      <c r="K223" s="25" t="str">
        <f t="shared" si="32"/>
        <v>01</v>
      </c>
      <c r="L223" s="25" t="str">
        <f t="shared" si="33"/>
        <v>DeleteRow</v>
      </c>
      <c r="M223" s="25" t="s">
        <v>823</v>
      </c>
    </row>
    <row r="224" spans="1:13" x14ac:dyDescent="0.25">
      <c r="A224" s="25">
        <v>81</v>
      </c>
      <c r="B224" s="25" t="s">
        <v>519</v>
      </c>
      <c r="C224" s="25" t="s">
        <v>27</v>
      </c>
      <c r="D224" s="25" t="s">
        <v>520</v>
      </c>
      <c r="E224" s="25" t="str">
        <f t="shared" si="26"/>
        <v>F04</v>
      </c>
      <c r="F224" s="25" t="str">
        <f t="shared" si="27"/>
        <v>I0</v>
      </c>
      <c r="G224" s="25" t="str">
        <f t="shared" si="28"/>
        <v>02</v>
      </c>
      <c r="H224" s="25" t="str">
        <f t="shared" si="29"/>
        <v>1000</v>
      </c>
      <c r="I224" s="25" t="str">
        <f t="shared" si="30"/>
        <v/>
      </c>
      <c r="J224" s="25" t="str">
        <f t="shared" si="31"/>
        <v/>
      </c>
      <c r="K224" s="25" t="str">
        <f t="shared" si="32"/>
        <v>02</v>
      </c>
      <c r="L224" s="25" t="str">
        <f t="shared" si="33"/>
        <v>F04I0021000</v>
      </c>
      <c r="M224" s="25" t="s">
        <v>824</v>
      </c>
    </row>
    <row r="225" spans="1:13" x14ac:dyDescent="0.25">
      <c r="A225" s="25">
        <v>81</v>
      </c>
      <c r="B225" s="25" t="s">
        <v>521</v>
      </c>
      <c r="C225" s="25" t="s">
        <v>27</v>
      </c>
      <c r="D225" s="25" t="s">
        <v>522</v>
      </c>
      <c r="E225" s="25" t="str">
        <f t="shared" si="26"/>
        <v>F04</v>
      </c>
      <c r="F225" s="25" t="str">
        <f t="shared" si="27"/>
        <v>LT</v>
      </c>
      <c r="G225" s="25" t="str">
        <f t="shared" si="28"/>
        <v>02</v>
      </c>
      <c r="H225" s="25" t="str">
        <f t="shared" si="29"/>
        <v>0250</v>
      </c>
      <c r="I225" s="25" t="str">
        <f t="shared" si="30"/>
        <v/>
      </c>
      <c r="J225" s="25" t="str">
        <f t="shared" si="31"/>
        <v/>
      </c>
      <c r="K225" s="25" t="str">
        <f t="shared" si="32"/>
        <v>02</v>
      </c>
      <c r="L225" s="25" t="str">
        <f t="shared" si="33"/>
        <v>F04LT020250</v>
      </c>
      <c r="M225" s="25" t="s">
        <v>825</v>
      </c>
    </row>
    <row r="226" spans="1:13" x14ac:dyDescent="0.25">
      <c r="A226" s="25">
        <v>81</v>
      </c>
      <c r="B226" s="25" t="s">
        <v>523</v>
      </c>
      <c r="C226" s="25" t="s">
        <v>27</v>
      </c>
      <c r="D226" s="25" t="s">
        <v>524</v>
      </c>
      <c r="E226" s="25" t="str">
        <f t="shared" si="26"/>
        <v>F04</v>
      </c>
      <c r="F226" s="25" t="str">
        <f t="shared" si="27"/>
        <v>LT</v>
      </c>
      <c r="G226" s="25" t="str">
        <f t="shared" si="28"/>
        <v>02</v>
      </c>
      <c r="H226" s="25" t="str">
        <f t="shared" si="29"/>
        <v>1000</v>
      </c>
      <c r="I226" s="25" t="str">
        <f t="shared" si="30"/>
        <v/>
      </c>
      <c r="J226" s="25" t="str">
        <f t="shared" si="31"/>
        <v/>
      </c>
      <c r="K226" s="25" t="str">
        <f t="shared" si="32"/>
        <v>02</v>
      </c>
      <c r="L226" s="25" t="str">
        <f t="shared" si="33"/>
        <v>F04LT021000</v>
      </c>
      <c r="M226" s="25" t="s">
        <v>826</v>
      </c>
    </row>
    <row r="227" spans="1:13" x14ac:dyDescent="0.25">
      <c r="A227" s="25">
        <v>81</v>
      </c>
      <c r="B227" s="25" t="s">
        <v>525</v>
      </c>
      <c r="C227" s="25" t="s">
        <v>27</v>
      </c>
      <c r="D227" s="25" t="s">
        <v>526</v>
      </c>
      <c r="E227" s="25" t="str">
        <f t="shared" si="26"/>
        <v>F04</v>
      </c>
      <c r="F227" s="25" t="str">
        <f t="shared" si="27"/>
        <v>LT</v>
      </c>
      <c r="G227" s="25" t="str">
        <f t="shared" si="28"/>
        <v>03</v>
      </c>
      <c r="H227" s="25" t="str">
        <f t="shared" si="29"/>
        <v>0300</v>
      </c>
      <c r="I227" s="25" t="str">
        <f t="shared" si="30"/>
        <v/>
      </c>
      <c r="J227" s="25" t="str">
        <f t="shared" si="31"/>
        <v>r</v>
      </c>
      <c r="K227" s="25" t="str">
        <f t="shared" si="32"/>
        <v>01</v>
      </c>
      <c r="L227" s="25" t="str">
        <f t="shared" si="33"/>
        <v>F04LT010300</v>
      </c>
      <c r="M227" s="25" t="s">
        <v>827</v>
      </c>
    </row>
    <row r="228" spans="1:13" x14ac:dyDescent="0.25">
      <c r="A228" s="25">
        <v>81</v>
      </c>
      <c r="B228" s="25" t="s">
        <v>527</v>
      </c>
      <c r="C228" s="25" t="s">
        <v>27</v>
      </c>
      <c r="D228" s="25" t="s">
        <v>528</v>
      </c>
      <c r="E228" s="25" t="str">
        <f t="shared" si="26"/>
        <v>F04</v>
      </c>
      <c r="F228" s="25" t="str">
        <f t="shared" si="27"/>
        <v>T0</v>
      </c>
      <c r="G228" s="25" t="str">
        <f t="shared" si="28"/>
        <v>02</v>
      </c>
      <c r="H228" s="25" t="str">
        <f t="shared" si="29"/>
        <v>0100</v>
      </c>
      <c r="I228" s="25" t="str">
        <f t="shared" si="30"/>
        <v/>
      </c>
      <c r="J228" s="25" t="str">
        <f t="shared" si="31"/>
        <v/>
      </c>
      <c r="K228" s="25" t="str">
        <f t="shared" si="32"/>
        <v>02</v>
      </c>
      <c r="L228" s="25" t="str">
        <f t="shared" si="33"/>
        <v>F04T0020100</v>
      </c>
      <c r="M228" s="25" t="s">
        <v>828</v>
      </c>
    </row>
    <row r="229" spans="1:13" x14ac:dyDescent="0.25">
      <c r="A229" s="25">
        <v>81</v>
      </c>
      <c r="B229" s="25" t="s">
        <v>529</v>
      </c>
      <c r="C229" s="25" t="s">
        <v>27</v>
      </c>
      <c r="D229" s="25" t="s">
        <v>530</v>
      </c>
      <c r="E229" s="25" t="str">
        <f t="shared" si="26"/>
        <v>F04</v>
      </c>
      <c r="F229" s="25" t="str">
        <f t="shared" si="27"/>
        <v>T0</v>
      </c>
      <c r="G229" s="25" t="str">
        <f t="shared" si="28"/>
        <v>02</v>
      </c>
      <c r="H229" s="25" t="str">
        <f t="shared" si="29"/>
        <v>0150</v>
      </c>
      <c r="I229" s="25" t="str">
        <f t="shared" si="30"/>
        <v/>
      </c>
      <c r="J229" s="25" t="str">
        <f t="shared" si="31"/>
        <v/>
      </c>
      <c r="K229" s="25" t="str">
        <f t="shared" si="32"/>
        <v>02</v>
      </c>
      <c r="L229" s="25" t="str">
        <f t="shared" si="33"/>
        <v>F04T0020150</v>
      </c>
      <c r="M229" s="25" t="s">
        <v>829</v>
      </c>
    </row>
    <row r="230" spans="1:13" x14ac:dyDescent="0.25">
      <c r="A230" s="25">
        <v>81</v>
      </c>
      <c r="B230" s="25" t="s">
        <v>531</v>
      </c>
      <c r="C230" s="25" t="s">
        <v>27</v>
      </c>
      <c r="D230" s="25" t="s">
        <v>532</v>
      </c>
      <c r="E230" s="25" t="str">
        <f t="shared" si="26"/>
        <v>F04</v>
      </c>
      <c r="F230" s="25" t="str">
        <f t="shared" si="27"/>
        <v>T0</v>
      </c>
      <c r="G230" s="25" t="str">
        <f t="shared" si="28"/>
        <v>02</v>
      </c>
      <c r="H230" s="25" t="str">
        <f t="shared" si="29"/>
        <v>0170</v>
      </c>
      <c r="I230" s="25" t="str">
        <f t="shared" si="30"/>
        <v/>
      </c>
      <c r="J230" s="25" t="str">
        <f t="shared" si="31"/>
        <v/>
      </c>
      <c r="K230" s="25" t="str">
        <f t="shared" si="32"/>
        <v>02</v>
      </c>
      <c r="L230" s="25" t="str">
        <f t="shared" si="33"/>
        <v>F04T0020170</v>
      </c>
      <c r="M230" s="25" t="s">
        <v>830</v>
      </c>
    </row>
    <row r="231" spans="1:13" x14ac:dyDescent="0.25">
      <c r="A231" s="25">
        <v>81</v>
      </c>
      <c r="B231" s="25" t="s">
        <v>533</v>
      </c>
      <c r="C231" s="25" t="s">
        <v>27</v>
      </c>
      <c r="D231" s="25" t="s">
        <v>534</v>
      </c>
      <c r="E231" s="25" t="str">
        <f t="shared" si="26"/>
        <v>F04</v>
      </c>
      <c r="F231" s="25" t="str">
        <f t="shared" si="27"/>
        <v>T0</v>
      </c>
      <c r="G231" s="25" t="str">
        <f t="shared" si="28"/>
        <v>02</v>
      </c>
      <c r="H231" s="25" t="str">
        <f t="shared" si="29"/>
        <v>0200</v>
      </c>
      <c r="I231" s="25" t="str">
        <f t="shared" si="30"/>
        <v/>
      </c>
      <c r="J231" s="25" t="str">
        <f t="shared" si="31"/>
        <v/>
      </c>
      <c r="K231" s="25" t="str">
        <f t="shared" si="32"/>
        <v>02</v>
      </c>
      <c r="L231" s="25" t="str">
        <f t="shared" si="33"/>
        <v>F04T0020200</v>
      </c>
      <c r="M231" s="25" t="s">
        <v>831</v>
      </c>
    </row>
    <row r="232" spans="1:13" x14ac:dyDescent="0.25">
      <c r="A232" s="25">
        <v>81</v>
      </c>
      <c r="B232" s="25" t="s">
        <v>535</v>
      </c>
      <c r="C232" s="25" t="s">
        <v>27</v>
      </c>
      <c r="D232" s="25" t="s">
        <v>536</v>
      </c>
      <c r="E232" s="25" t="str">
        <f t="shared" si="26"/>
        <v>F04</v>
      </c>
      <c r="F232" s="25" t="str">
        <f t="shared" si="27"/>
        <v>T0</v>
      </c>
      <c r="G232" s="25" t="str">
        <f t="shared" si="28"/>
        <v>02</v>
      </c>
      <c r="H232" s="25" t="str">
        <f t="shared" si="29"/>
        <v>0250</v>
      </c>
      <c r="I232" s="25" t="str">
        <f t="shared" si="30"/>
        <v/>
      </c>
      <c r="J232" s="25" t="str">
        <f t="shared" si="31"/>
        <v/>
      </c>
      <c r="K232" s="25" t="str">
        <f t="shared" si="32"/>
        <v>02</v>
      </c>
      <c r="L232" s="25" t="str">
        <f t="shared" si="33"/>
        <v>F04T0020250</v>
      </c>
      <c r="M232" s="25" t="s">
        <v>832</v>
      </c>
    </row>
    <row r="233" spans="1:13" x14ac:dyDescent="0.25">
      <c r="A233" s="25">
        <v>81</v>
      </c>
      <c r="B233" s="25" t="s">
        <v>537</v>
      </c>
      <c r="C233" s="25" t="s">
        <v>27</v>
      </c>
      <c r="D233" s="25" t="s">
        <v>538</v>
      </c>
      <c r="E233" s="25" t="str">
        <f t="shared" si="26"/>
        <v>F04</v>
      </c>
      <c r="F233" s="25" t="str">
        <f t="shared" si="27"/>
        <v>T0</v>
      </c>
      <c r="G233" s="25" t="str">
        <f t="shared" si="28"/>
        <v>02</v>
      </c>
      <c r="H233" s="25" t="str">
        <f t="shared" si="29"/>
        <v>0400</v>
      </c>
      <c r="I233" s="25" t="str">
        <f t="shared" si="30"/>
        <v/>
      </c>
      <c r="J233" s="25" t="str">
        <f t="shared" si="31"/>
        <v/>
      </c>
      <c r="K233" s="25" t="str">
        <f t="shared" si="32"/>
        <v>02</v>
      </c>
      <c r="L233" s="25" t="str">
        <f t="shared" si="33"/>
        <v>F04T0020400</v>
      </c>
      <c r="M233" s="25" t="s">
        <v>833</v>
      </c>
    </row>
    <row r="234" spans="1:13" x14ac:dyDescent="0.25">
      <c r="A234" s="25">
        <v>81</v>
      </c>
      <c r="B234" s="25" t="s">
        <v>539</v>
      </c>
      <c r="C234" s="25" t="s">
        <v>27</v>
      </c>
      <c r="D234" s="25" t="s">
        <v>540</v>
      </c>
      <c r="E234" s="25" t="str">
        <f t="shared" si="26"/>
        <v>F04</v>
      </c>
      <c r="F234" s="25" t="str">
        <f t="shared" si="27"/>
        <v>T0</v>
      </c>
      <c r="G234" s="25" t="str">
        <f t="shared" si="28"/>
        <v>02</v>
      </c>
      <c r="H234" s="25" t="str">
        <f t="shared" si="29"/>
        <v>0500</v>
      </c>
      <c r="I234" s="25" t="str">
        <f t="shared" si="30"/>
        <v/>
      </c>
      <c r="J234" s="25" t="str">
        <f t="shared" si="31"/>
        <v/>
      </c>
      <c r="K234" s="25" t="str">
        <f t="shared" si="32"/>
        <v>02</v>
      </c>
      <c r="L234" s="25" t="str">
        <f t="shared" si="33"/>
        <v>F04T0020500</v>
      </c>
    </row>
    <row r="235" spans="1:13" x14ac:dyDescent="0.25">
      <c r="A235" s="25">
        <v>81</v>
      </c>
      <c r="B235" s="25" t="s">
        <v>541</v>
      </c>
      <c r="C235" s="25" t="s">
        <v>27</v>
      </c>
      <c r="D235" s="25" t="s">
        <v>542</v>
      </c>
      <c r="E235" s="25" t="str">
        <f t="shared" si="26"/>
        <v>F04</v>
      </c>
      <c r="F235" s="25" t="str">
        <f t="shared" si="27"/>
        <v>T0</v>
      </c>
      <c r="G235" s="25" t="str">
        <f t="shared" si="28"/>
        <v>02</v>
      </c>
      <c r="H235" s="25" t="str">
        <f t="shared" si="29"/>
        <v>1000</v>
      </c>
      <c r="I235" s="25" t="str">
        <f t="shared" si="30"/>
        <v/>
      </c>
      <c r="J235" s="25" t="str">
        <f t="shared" si="31"/>
        <v/>
      </c>
      <c r="K235" s="25" t="str">
        <f t="shared" si="32"/>
        <v>02</v>
      </c>
      <c r="L235" s="25" t="str">
        <f t="shared" si="33"/>
        <v>F04T0021000</v>
      </c>
    </row>
    <row r="236" spans="1:13" x14ac:dyDescent="0.25">
      <c r="A236" s="25">
        <v>81</v>
      </c>
      <c r="B236" s="25" t="s">
        <v>543</v>
      </c>
      <c r="C236" s="25" t="s">
        <v>27</v>
      </c>
      <c r="D236" s="25" t="s">
        <v>544</v>
      </c>
      <c r="E236" s="25" t="str">
        <f t="shared" si="26"/>
        <v>F04</v>
      </c>
      <c r="F236" s="25" t="str">
        <f t="shared" si="27"/>
        <v>T0</v>
      </c>
      <c r="G236" s="25" t="str">
        <f t="shared" si="28"/>
        <v>03</v>
      </c>
      <c r="H236" s="25" t="str">
        <f t="shared" si="29"/>
        <v>0050</v>
      </c>
      <c r="I236" s="25" t="str">
        <f t="shared" si="30"/>
        <v/>
      </c>
      <c r="J236" s="25" t="str">
        <f t="shared" si="31"/>
        <v>r</v>
      </c>
      <c r="K236" s="25" t="str">
        <f t="shared" si="32"/>
        <v>01</v>
      </c>
      <c r="L236" s="25" t="str">
        <f t="shared" si="33"/>
        <v>F04T0010050</v>
      </c>
    </row>
    <row r="237" spans="1:13" x14ac:dyDescent="0.25">
      <c r="A237" s="25">
        <v>81</v>
      </c>
      <c r="B237" s="25" t="s">
        <v>548</v>
      </c>
      <c r="C237" s="25" t="s">
        <v>27</v>
      </c>
      <c r="D237" s="25" t="s">
        <v>549</v>
      </c>
      <c r="E237" s="25" t="str">
        <f t="shared" si="26"/>
        <v>F06</v>
      </c>
      <c r="F237" s="25" t="str">
        <f t="shared" si="27"/>
        <v>DP</v>
      </c>
      <c r="G237" s="25" t="str">
        <f t="shared" si="28"/>
        <v>02</v>
      </c>
      <c r="H237" s="25" t="str">
        <f t="shared" si="29"/>
        <v>2000</v>
      </c>
      <c r="I237" s="25" t="str">
        <f t="shared" si="30"/>
        <v/>
      </c>
      <c r="J237" s="25" t="str">
        <f t="shared" si="31"/>
        <v/>
      </c>
      <c r="K237" s="25" t="str">
        <f t="shared" si="32"/>
        <v>02</v>
      </c>
      <c r="L237" s="25" t="str">
        <f t="shared" si="33"/>
        <v>F06DP022000</v>
      </c>
    </row>
    <row r="238" spans="1:13" x14ac:dyDescent="0.25">
      <c r="A238" s="25">
        <v>81</v>
      </c>
      <c r="B238" s="25" t="s">
        <v>550</v>
      </c>
      <c r="C238" s="25" t="s">
        <v>27</v>
      </c>
      <c r="D238" s="25" t="s">
        <v>551</v>
      </c>
      <c r="E238" s="25" t="str">
        <f t="shared" si="26"/>
        <v>F06</v>
      </c>
      <c r="F238" s="25" t="str">
        <f t="shared" si="27"/>
        <v>DP</v>
      </c>
      <c r="G238" s="25" t="str">
        <f t="shared" si="28"/>
        <v>02</v>
      </c>
      <c r="H238" s="25" t="str">
        <f t="shared" si="29"/>
        <v>2500</v>
      </c>
      <c r="I238" s="25" t="str">
        <f t="shared" si="30"/>
        <v/>
      </c>
      <c r="J238" s="25" t="str">
        <f t="shared" si="31"/>
        <v/>
      </c>
      <c r="K238" s="25" t="str">
        <f t="shared" si="32"/>
        <v>02</v>
      </c>
      <c r="L238" s="25" t="str">
        <f t="shared" si="33"/>
        <v>F06DP022500</v>
      </c>
    </row>
    <row r="239" spans="1:13" x14ac:dyDescent="0.25">
      <c r="A239" s="25">
        <v>81</v>
      </c>
      <c r="B239" s="25" t="s">
        <v>552</v>
      </c>
      <c r="C239" s="25" t="s">
        <v>27</v>
      </c>
      <c r="D239" s="25" t="s">
        <v>553</v>
      </c>
      <c r="E239" s="25" t="str">
        <f t="shared" si="26"/>
        <v>F06</v>
      </c>
      <c r="F239" s="25" t="str">
        <f t="shared" si="27"/>
        <v>LT</v>
      </c>
      <c r="G239" s="25" t="str">
        <f t="shared" si="28"/>
        <v>02</v>
      </c>
      <c r="H239" s="25" t="str">
        <f t="shared" si="29"/>
        <v>2500</v>
      </c>
      <c r="I239" s="25" t="str">
        <f t="shared" si="30"/>
        <v/>
      </c>
      <c r="J239" s="25" t="str">
        <f t="shared" si="31"/>
        <v/>
      </c>
      <c r="K239" s="25" t="str">
        <f t="shared" si="32"/>
        <v>02</v>
      </c>
      <c r="L239" s="25" t="str">
        <f t="shared" si="33"/>
        <v>F06LT022500</v>
      </c>
    </row>
    <row r="240" spans="1:13" x14ac:dyDescent="0.25">
      <c r="A240" s="25">
        <v>81</v>
      </c>
      <c r="B240" s="25" t="s">
        <v>554</v>
      </c>
      <c r="C240" s="25" t="s">
        <v>27</v>
      </c>
      <c r="D240" s="25" t="s">
        <v>555</v>
      </c>
      <c r="E240" s="25" t="str">
        <f t="shared" si="26"/>
        <v>F06</v>
      </c>
      <c r="F240" s="25" t="str">
        <f t="shared" si="27"/>
        <v>T0</v>
      </c>
      <c r="G240" s="25" t="str">
        <f t="shared" si="28"/>
        <v>02</v>
      </c>
      <c r="H240" s="25" t="str">
        <f t="shared" si="29"/>
        <v>0500</v>
      </c>
      <c r="I240" s="25" t="str">
        <f t="shared" si="30"/>
        <v/>
      </c>
      <c r="J240" s="25" t="str">
        <f t="shared" si="31"/>
        <v/>
      </c>
      <c r="K240" s="25" t="str">
        <f t="shared" si="32"/>
        <v>02</v>
      </c>
      <c r="L240" s="25" t="str">
        <f t="shared" si="33"/>
        <v>F06T0020500</v>
      </c>
    </row>
    <row r="241" spans="1:12" x14ac:dyDescent="0.25">
      <c r="A241" s="25">
        <v>81</v>
      </c>
      <c r="B241" s="25" t="s">
        <v>556</v>
      </c>
      <c r="C241" s="25" t="s">
        <v>27</v>
      </c>
      <c r="D241" s="25" t="s">
        <v>557</v>
      </c>
      <c r="E241" s="25" t="str">
        <f t="shared" si="26"/>
        <v>F06</v>
      </c>
      <c r="F241" s="25" t="str">
        <f t="shared" si="27"/>
        <v>T0</v>
      </c>
      <c r="G241" s="25" t="str">
        <f t="shared" si="28"/>
        <v>02</v>
      </c>
      <c r="H241" s="25" t="str">
        <f t="shared" si="29"/>
        <v>2500</v>
      </c>
      <c r="I241" s="25" t="str">
        <f t="shared" si="30"/>
        <v/>
      </c>
      <c r="J241" s="25" t="str">
        <f t="shared" si="31"/>
        <v/>
      </c>
      <c r="K241" s="25" t="str">
        <f t="shared" si="32"/>
        <v>02</v>
      </c>
      <c r="L241" s="25" t="str">
        <f t="shared" si="33"/>
        <v>F06T0022500</v>
      </c>
    </row>
    <row r="242" spans="1:12" x14ac:dyDescent="0.25">
      <c r="A242" s="25">
        <v>81</v>
      </c>
      <c r="B242" s="25" t="s">
        <v>560</v>
      </c>
      <c r="C242" s="25" t="s">
        <v>27</v>
      </c>
      <c r="D242" s="25" t="s">
        <v>561</v>
      </c>
      <c r="E242" s="25" t="str">
        <f t="shared" si="26"/>
        <v>F07</v>
      </c>
      <c r="F242" s="25" t="str">
        <f t="shared" si="27"/>
        <v>DP</v>
      </c>
      <c r="G242" s="25" t="str">
        <f t="shared" si="28"/>
        <v>02</v>
      </c>
      <c r="H242" s="25" t="str">
        <f t="shared" si="29"/>
        <v>2000</v>
      </c>
      <c r="I242" s="25" t="str">
        <f t="shared" si="30"/>
        <v/>
      </c>
      <c r="J242" s="25" t="str">
        <f t="shared" si="31"/>
        <v/>
      </c>
      <c r="K242" s="25" t="str">
        <f t="shared" si="32"/>
        <v>02</v>
      </c>
      <c r="L242" s="25" t="str">
        <f t="shared" si="33"/>
        <v>F07DP022000</v>
      </c>
    </row>
    <row r="243" spans="1:12" x14ac:dyDescent="0.25">
      <c r="A243" s="25">
        <v>81</v>
      </c>
      <c r="B243" s="25" t="s">
        <v>562</v>
      </c>
      <c r="C243" s="25" t="s">
        <v>27</v>
      </c>
      <c r="D243" s="25" t="s">
        <v>563</v>
      </c>
      <c r="E243" s="25" t="str">
        <f t="shared" si="26"/>
        <v>F07</v>
      </c>
      <c r="F243" s="25" t="str">
        <f t="shared" si="27"/>
        <v>DP</v>
      </c>
      <c r="G243" s="25" t="str">
        <f t="shared" si="28"/>
        <v>02</v>
      </c>
      <c r="H243" s="25" t="str">
        <f t="shared" si="29"/>
        <v>2500</v>
      </c>
      <c r="I243" s="25" t="str">
        <f t="shared" si="30"/>
        <v/>
      </c>
      <c r="J243" s="25" t="str">
        <f t="shared" si="31"/>
        <v/>
      </c>
      <c r="K243" s="25" t="str">
        <f t="shared" si="32"/>
        <v>02</v>
      </c>
      <c r="L243" s="25" t="str">
        <f t="shared" si="33"/>
        <v>F07DP022500</v>
      </c>
    </row>
    <row r="244" spans="1:12" x14ac:dyDescent="0.25">
      <c r="A244" s="25">
        <v>81</v>
      </c>
      <c r="B244" s="25" t="s">
        <v>564</v>
      </c>
      <c r="C244" s="25" t="s">
        <v>27</v>
      </c>
      <c r="D244" s="25" t="s">
        <v>565</v>
      </c>
      <c r="E244" s="25" t="str">
        <f t="shared" si="26"/>
        <v>F07</v>
      </c>
      <c r="F244" s="25" t="str">
        <f t="shared" si="27"/>
        <v>LT</v>
      </c>
      <c r="G244" s="25" t="str">
        <f t="shared" si="28"/>
        <v>02</v>
      </c>
      <c r="H244" s="25" t="str">
        <f t="shared" si="29"/>
        <v>2500</v>
      </c>
      <c r="I244" s="25" t="str">
        <f t="shared" si="30"/>
        <v/>
      </c>
      <c r="J244" s="25" t="str">
        <f t="shared" si="31"/>
        <v/>
      </c>
      <c r="K244" s="25" t="str">
        <f t="shared" si="32"/>
        <v>02</v>
      </c>
      <c r="L244" s="25" t="str">
        <f t="shared" si="33"/>
        <v>F07LT022500</v>
      </c>
    </row>
    <row r="245" spans="1:12" x14ac:dyDescent="0.25">
      <c r="A245" s="25">
        <v>81</v>
      </c>
      <c r="B245" s="25" t="s">
        <v>566</v>
      </c>
      <c r="C245" s="25" t="s">
        <v>27</v>
      </c>
      <c r="D245" s="25" t="s">
        <v>567</v>
      </c>
      <c r="E245" s="25" t="str">
        <f t="shared" si="26"/>
        <v>F07</v>
      </c>
      <c r="F245" s="25" t="str">
        <f t="shared" si="27"/>
        <v>T0</v>
      </c>
      <c r="G245" s="25" t="str">
        <f t="shared" si="28"/>
        <v>02</v>
      </c>
      <c r="H245" s="25" t="str">
        <f t="shared" si="29"/>
        <v>0500</v>
      </c>
      <c r="I245" s="25" t="str">
        <f t="shared" si="30"/>
        <v/>
      </c>
      <c r="J245" s="25" t="str">
        <f t="shared" si="31"/>
        <v/>
      </c>
      <c r="K245" s="25" t="str">
        <f t="shared" si="32"/>
        <v>02</v>
      </c>
      <c r="L245" s="25" t="str">
        <f t="shared" si="33"/>
        <v>F07T0020500</v>
      </c>
    </row>
    <row r="246" spans="1:12" x14ac:dyDescent="0.25">
      <c r="A246" s="25">
        <v>81</v>
      </c>
      <c r="B246" s="25" t="s">
        <v>568</v>
      </c>
      <c r="C246" s="25" t="s">
        <v>27</v>
      </c>
      <c r="D246" s="25" t="s">
        <v>569</v>
      </c>
      <c r="E246" s="25" t="str">
        <f t="shared" si="26"/>
        <v>F07</v>
      </c>
      <c r="F246" s="25" t="str">
        <f t="shared" si="27"/>
        <v>T0</v>
      </c>
      <c r="G246" s="25" t="str">
        <f t="shared" si="28"/>
        <v>02</v>
      </c>
      <c r="H246" s="25" t="str">
        <f t="shared" si="29"/>
        <v>2500</v>
      </c>
      <c r="I246" s="25" t="str">
        <f t="shared" si="30"/>
        <v/>
      </c>
      <c r="J246" s="25" t="str">
        <f t="shared" si="31"/>
        <v/>
      </c>
      <c r="K246" s="25" t="str">
        <f t="shared" si="32"/>
        <v>02</v>
      </c>
      <c r="L246" s="25" t="str">
        <f t="shared" si="33"/>
        <v>F07T0022500</v>
      </c>
    </row>
    <row r="247" spans="1:12" x14ac:dyDescent="0.25">
      <c r="A247" s="25">
        <v>81</v>
      </c>
      <c r="B247" s="25" t="s">
        <v>572</v>
      </c>
      <c r="C247" s="25" t="s">
        <v>27</v>
      </c>
      <c r="D247" s="25" t="s">
        <v>573</v>
      </c>
      <c r="E247" s="25" t="str">
        <f t="shared" si="26"/>
        <v>F08</v>
      </c>
      <c r="F247" s="25" t="str">
        <f t="shared" si="27"/>
        <v>DN</v>
      </c>
      <c r="G247" s="25" t="str">
        <f t="shared" si="28"/>
        <v>02</v>
      </c>
      <c r="H247" s="25" t="str">
        <f t="shared" si="29"/>
        <v>0100</v>
      </c>
      <c r="I247" s="25" t="str">
        <f t="shared" si="30"/>
        <v/>
      </c>
      <c r="J247" s="25" t="str">
        <f t="shared" si="31"/>
        <v/>
      </c>
      <c r="K247" s="25" t="str">
        <f t="shared" si="32"/>
        <v>02</v>
      </c>
      <c r="L247" s="25" t="str">
        <f t="shared" si="33"/>
        <v>F08DN020100</v>
      </c>
    </row>
    <row r="248" spans="1:12" x14ac:dyDescent="0.25">
      <c r="A248" s="25">
        <v>81</v>
      </c>
      <c r="B248" s="25" t="s">
        <v>574</v>
      </c>
      <c r="C248" s="25" t="s">
        <v>27</v>
      </c>
      <c r="D248" s="25" t="s">
        <v>575</v>
      </c>
      <c r="E248" s="25" t="str">
        <f t="shared" si="26"/>
        <v>F08</v>
      </c>
      <c r="F248" s="25" t="str">
        <f t="shared" si="27"/>
        <v>DN</v>
      </c>
      <c r="G248" s="25" t="str">
        <f t="shared" si="28"/>
        <v>02</v>
      </c>
      <c r="H248" s="25" t="str">
        <f t="shared" si="29"/>
        <v>0250</v>
      </c>
      <c r="I248" s="25" t="str">
        <f t="shared" si="30"/>
        <v/>
      </c>
      <c r="J248" s="25" t="str">
        <f t="shared" si="31"/>
        <v/>
      </c>
      <c r="K248" s="25" t="str">
        <f t="shared" si="32"/>
        <v>02</v>
      </c>
      <c r="L248" s="25" t="str">
        <f t="shared" si="33"/>
        <v>F08DN020250</v>
      </c>
    </row>
    <row r="249" spans="1:12" x14ac:dyDescent="0.25">
      <c r="A249" s="25">
        <v>81</v>
      </c>
      <c r="B249" s="25" t="s">
        <v>576</v>
      </c>
      <c r="C249" s="25" t="s">
        <v>27</v>
      </c>
      <c r="D249" s="25" t="s">
        <v>577</v>
      </c>
      <c r="E249" s="25" t="str">
        <f t="shared" si="26"/>
        <v>F08</v>
      </c>
      <c r="F249" s="25" t="str">
        <f t="shared" si="27"/>
        <v>DN</v>
      </c>
      <c r="G249" s="25" t="str">
        <f t="shared" si="28"/>
        <v>02</v>
      </c>
      <c r="H249" s="25" t="str">
        <f t="shared" si="29"/>
        <v>0500</v>
      </c>
      <c r="I249" s="25" t="str">
        <f t="shared" si="30"/>
        <v/>
      </c>
      <c r="J249" s="25" t="str">
        <f t="shared" si="31"/>
        <v/>
      </c>
      <c r="K249" s="25" t="str">
        <f t="shared" si="32"/>
        <v>02</v>
      </c>
      <c r="L249" s="25" t="str">
        <f t="shared" si="33"/>
        <v>F08DN020500</v>
      </c>
    </row>
    <row r="250" spans="1:12" x14ac:dyDescent="0.25">
      <c r="A250" s="25">
        <v>81</v>
      </c>
      <c r="B250" s="25" t="s">
        <v>578</v>
      </c>
      <c r="C250" s="25" t="s">
        <v>27</v>
      </c>
      <c r="D250" s="25" t="s">
        <v>579</v>
      </c>
      <c r="E250" s="25" t="str">
        <f t="shared" si="26"/>
        <v>F08</v>
      </c>
      <c r="F250" s="25" t="str">
        <f t="shared" si="27"/>
        <v>DN</v>
      </c>
      <c r="G250" s="25" t="str">
        <f t="shared" si="28"/>
        <v>02</v>
      </c>
      <c r="H250" s="25" t="str">
        <f t="shared" si="29"/>
        <v>1000</v>
      </c>
      <c r="I250" s="25" t="str">
        <f t="shared" si="30"/>
        <v/>
      </c>
      <c r="J250" s="25" t="str">
        <f t="shared" si="31"/>
        <v/>
      </c>
      <c r="K250" s="25" t="str">
        <f t="shared" si="32"/>
        <v>02</v>
      </c>
      <c r="L250" s="25" t="str">
        <f t="shared" si="33"/>
        <v>F08DN021000</v>
      </c>
    </row>
    <row r="251" spans="1:12" x14ac:dyDescent="0.25">
      <c r="A251" s="25">
        <v>81</v>
      </c>
      <c r="B251" s="25" t="s">
        <v>580</v>
      </c>
      <c r="C251" s="25" t="s">
        <v>27</v>
      </c>
      <c r="D251" s="25" t="s">
        <v>581</v>
      </c>
      <c r="E251" s="25" t="str">
        <f t="shared" si="26"/>
        <v>F08</v>
      </c>
      <c r="F251" s="25" t="str">
        <f t="shared" si="27"/>
        <v>I0</v>
      </c>
      <c r="G251" s="25" t="str">
        <f t="shared" si="28"/>
        <v>02</v>
      </c>
      <c r="H251" s="25" t="str">
        <f t="shared" si="29"/>
        <v>1000</v>
      </c>
      <c r="I251" s="25" t="str">
        <f t="shared" si="30"/>
        <v/>
      </c>
      <c r="J251" s="25" t="str">
        <f t="shared" si="31"/>
        <v/>
      </c>
      <c r="K251" s="25" t="str">
        <f t="shared" si="32"/>
        <v>02</v>
      </c>
      <c r="L251" s="25" t="str">
        <f t="shared" si="33"/>
        <v>F08I0021000</v>
      </c>
    </row>
    <row r="252" spans="1:12" x14ac:dyDescent="0.25">
      <c r="A252" s="25">
        <v>81</v>
      </c>
      <c r="B252" s="25" t="s">
        <v>582</v>
      </c>
      <c r="C252" s="25" t="s">
        <v>27</v>
      </c>
      <c r="D252" s="25" t="s">
        <v>583</v>
      </c>
      <c r="E252" s="25" t="str">
        <f t="shared" si="26"/>
        <v>F08</v>
      </c>
      <c r="F252" s="25" t="str">
        <f t="shared" si="27"/>
        <v>LT</v>
      </c>
      <c r="G252" s="25" t="str">
        <f t="shared" si="28"/>
        <v>02</v>
      </c>
      <c r="H252" s="25" t="str">
        <f t="shared" si="29"/>
        <v>0250</v>
      </c>
      <c r="I252" s="25" t="str">
        <f t="shared" si="30"/>
        <v/>
      </c>
      <c r="J252" s="25" t="str">
        <f t="shared" si="31"/>
        <v/>
      </c>
      <c r="K252" s="25" t="str">
        <f t="shared" si="32"/>
        <v>02</v>
      </c>
      <c r="L252" s="25" t="str">
        <f t="shared" si="33"/>
        <v>F08LT020250</v>
      </c>
    </row>
    <row r="253" spans="1:12" x14ac:dyDescent="0.25">
      <c r="A253" s="25">
        <v>81</v>
      </c>
      <c r="B253" s="25" t="s">
        <v>584</v>
      </c>
      <c r="C253" s="25" t="s">
        <v>27</v>
      </c>
      <c r="D253" s="25" t="s">
        <v>585</v>
      </c>
      <c r="E253" s="25" t="str">
        <f t="shared" si="26"/>
        <v>F08</v>
      </c>
      <c r="F253" s="25" t="str">
        <f t="shared" si="27"/>
        <v>LT</v>
      </c>
      <c r="G253" s="25" t="str">
        <f t="shared" si="28"/>
        <v>02</v>
      </c>
      <c r="H253" s="25" t="str">
        <f t="shared" si="29"/>
        <v>1000</v>
      </c>
      <c r="I253" s="25" t="str">
        <f t="shared" si="30"/>
        <v/>
      </c>
      <c r="J253" s="25" t="str">
        <f t="shared" si="31"/>
        <v/>
      </c>
      <c r="K253" s="25" t="str">
        <f t="shared" si="32"/>
        <v>02</v>
      </c>
      <c r="L253" s="25" t="str">
        <f t="shared" si="33"/>
        <v>F08LT021000</v>
      </c>
    </row>
    <row r="254" spans="1:12" x14ac:dyDescent="0.25">
      <c r="A254" s="25">
        <v>81</v>
      </c>
      <c r="B254" s="25" t="s">
        <v>586</v>
      </c>
      <c r="C254" s="25" t="s">
        <v>27</v>
      </c>
      <c r="D254" s="25" t="s">
        <v>587</v>
      </c>
      <c r="E254" s="25" t="str">
        <f t="shared" si="26"/>
        <v>F08</v>
      </c>
      <c r="F254" s="25" t="str">
        <f t="shared" si="27"/>
        <v>T0</v>
      </c>
      <c r="G254" s="25" t="str">
        <f t="shared" si="28"/>
        <v>02</v>
      </c>
      <c r="H254" s="25" t="str">
        <f t="shared" si="29"/>
        <v>0100</v>
      </c>
      <c r="I254" s="25" t="str">
        <f t="shared" si="30"/>
        <v/>
      </c>
      <c r="J254" s="25" t="str">
        <f t="shared" si="31"/>
        <v/>
      </c>
      <c r="K254" s="25" t="str">
        <f t="shared" si="32"/>
        <v>02</v>
      </c>
      <c r="L254" s="25" t="str">
        <f t="shared" si="33"/>
        <v>F08T0020100</v>
      </c>
    </row>
    <row r="255" spans="1:12" x14ac:dyDescent="0.25">
      <c r="A255" s="25">
        <v>81</v>
      </c>
      <c r="B255" s="25" t="s">
        <v>588</v>
      </c>
      <c r="C255" s="25" t="s">
        <v>27</v>
      </c>
      <c r="D255" s="25" t="s">
        <v>589</v>
      </c>
      <c r="E255" s="25" t="str">
        <f t="shared" si="26"/>
        <v>F08</v>
      </c>
      <c r="F255" s="25" t="str">
        <f t="shared" si="27"/>
        <v>T0</v>
      </c>
      <c r="G255" s="25" t="str">
        <f t="shared" si="28"/>
        <v>02</v>
      </c>
      <c r="H255" s="25" t="str">
        <f t="shared" si="29"/>
        <v>0250</v>
      </c>
      <c r="I255" s="25" t="str">
        <f t="shared" si="30"/>
        <v/>
      </c>
      <c r="J255" s="25" t="str">
        <f t="shared" si="31"/>
        <v/>
      </c>
      <c r="K255" s="25" t="str">
        <f t="shared" si="32"/>
        <v>02</v>
      </c>
      <c r="L255" s="25" t="str">
        <f t="shared" si="33"/>
        <v>F08T0020250</v>
      </c>
    </row>
    <row r="256" spans="1:12" x14ac:dyDescent="0.25">
      <c r="A256" s="25">
        <v>81</v>
      </c>
      <c r="B256" s="25" t="s">
        <v>590</v>
      </c>
      <c r="C256" s="25" t="s">
        <v>27</v>
      </c>
      <c r="D256" s="25" t="s">
        <v>591</v>
      </c>
      <c r="E256" s="25" t="str">
        <f t="shared" si="26"/>
        <v>F08</v>
      </c>
      <c r="F256" s="25" t="str">
        <f t="shared" si="27"/>
        <v>T0</v>
      </c>
      <c r="G256" s="25" t="str">
        <f t="shared" si="28"/>
        <v>02</v>
      </c>
      <c r="H256" s="25" t="str">
        <f t="shared" si="29"/>
        <v>0500</v>
      </c>
      <c r="I256" s="25" t="str">
        <f t="shared" si="30"/>
        <v/>
      </c>
      <c r="J256" s="25" t="str">
        <f t="shared" si="31"/>
        <v/>
      </c>
      <c r="K256" s="25" t="str">
        <f t="shared" si="32"/>
        <v>02</v>
      </c>
      <c r="L256" s="25" t="str">
        <f t="shared" si="33"/>
        <v>F08T0020500</v>
      </c>
    </row>
    <row r="257" spans="1:12" x14ac:dyDescent="0.25">
      <c r="A257" s="25">
        <v>81</v>
      </c>
      <c r="B257" s="25" t="s">
        <v>592</v>
      </c>
      <c r="C257" s="25" t="s">
        <v>27</v>
      </c>
      <c r="D257" s="25" t="s">
        <v>593</v>
      </c>
      <c r="E257" s="25" t="str">
        <f t="shared" si="26"/>
        <v>F08</v>
      </c>
      <c r="F257" s="25" t="str">
        <f t="shared" si="27"/>
        <v>T0</v>
      </c>
      <c r="G257" s="25" t="str">
        <f t="shared" si="28"/>
        <v>02</v>
      </c>
      <c r="H257" s="25" t="str">
        <f t="shared" si="29"/>
        <v>1000</v>
      </c>
      <c r="I257" s="25" t="str">
        <f t="shared" si="30"/>
        <v/>
      </c>
      <c r="J257" s="25" t="str">
        <f t="shared" si="31"/>
        <v/>
      </c>
      <c r="K257" s="25" t="str">
        <f t="shared" si="32"/>
        <v>02</v>
      </c>
      <c r="L257" s="25" t="str">
        <f t="shared" si="33"/>
        <v>F08T0021000</v>
      </c>
    </row>
    <row r="258" spans="1:12" x14ac:dyDescent="0.25">
      <c r="A258" s="25"/>
      <c r="B258" s="25"/>
      <c r="C258" s="25"/>
      <c r="D258" s="25"/>
      <c r="E258" s="25"/>
    </row>
    <row r="259" spans="1:12" x14ac:dyDescent="0.25">
      <c r="A259" s="25"/>
      <c r="B259" s="25"/>
      <c r="C259" s="25"/>
      <c r="D259" s="25"/>
      <c r="E259" s="25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zoomScale="85" zoomScaleNormal="85" workbookViewId="0">
      <pane xSplit="10" ySplit="10" topLeftCell="K22" activePane="bottomRight" state="frozen"/>
      <selection pane="topRight" activeCell="K1" sqref="K1"/>
      <selection pane="bottomLeft" activeCell="A13" sqref="A13"/>
      <selection pane="bottomRight" activeCell="O31" sqref="O31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29.140625" bestFit="1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3" customFormat="1" x14ac:dyDescent="0.25">
      <c r="A1" s="56"/>
      <c r="B1" s="56"/>
      <c r="C1" s="56"/>
      <c r="D1" s="56"/>
      <c r="E1" s="6"/>
      <c r="F1" s="6"/>
      <c r="G1" s="56"/>
      <c r="H1" s="6"/>
      <c r="I1" s="6"/>
      <c r="J1" s="50" t="s">
        <v>28</v>
      </c>
      <c r="K1" s="57" t="s">
        <v>36</v>
      </c>
      <c r="L1" s="57" t="s">
        <v>36</v>
      </c>
      <c r="M1" s="57" t="s">
        <v>37</v>
      </c>
      <c r="N1" s="57" t="s">
        <v>84</v>
      </c>
      <c r="O1" s="57" t="s">
        <v>594</v>
      </c>
      <c r="P1" s="57" t="s">
        <v>85</v>
      </c>
      <c r="Q1" s="57" t="s">
        <v>596</v>
      </c>
      <c r="R1" s="57" t="s">
        <v>931</v>
      </c>
      <c r="S1" s="57" t="s">
        <v>86</v>
      </c>
      <c r="T1" s="57" t="s">
        <v>595</v>
      </c>
    </row>
    <row r="2" spans="1:20" s="53" customFormat="1" x14ac:dyDescent="0.25">
      <c r="A2" s="56"/>
      <c r="B2" s="56"/>
      <c r="C2" s="56"/>
      <c r="D2" s="56"/>
      <c r="E2" s="6"/>
      <c r="F2" s="6"/>
      <c r="G2" s="56"/>
      <c r="H2" s="6"/>
      <c r="I2" s="6"/>
      <c r="J2" s="50" t="s">
        <v>53</v>
      </c>
      <c r="K2" s="57" t="s">
        <v>54</v>
      </c>
      <c r="L2" s="57" t="s">
        <v>55</v>
      </c>
      <c r="M2" s="57" t="s">
        <v>1214</v>
      </c>
      <c r="N2" s="57" t="s">
        <v>56</v>
      </c>
      <c r="O2" s="57" t="s">
        <v>57</v>
      </c>
      <c r="P2" s="57" t="s">
        <v>58</v>
      </c>
      <c r="Q2" s="57" t="s">
        <v>59</v>
      </c>
      <c r="R2" s="57" t="s">
        <v>1215</v>
      </c>
      <c r="S2" s="57" t="s">
        <v>60</v>
      </c>
      <c r="T2" s="57" t="s">
        <v>61</v>
      </c>
    </row>
    <row r="3" spans="1:20" s="53" customFormat="1" x14ac:dyDescent="0.25">
      <c r="A3" s="56"/>
      <c r="B3" s="56"/>
      <c r="C3" s="56"/>
      <c r="D3" s="56"/>
      <c r="E3" s="6"/>
      <c r="F3" s="6"/>
      <c r="G3" s="56"/>
      <c r="H3" s="6"/>
      <c r="I3" s="6"/>
      <c r="J3" s="50" t="s">
        <v>2</v>
      </c>
      <c r="K3" s="57" t="s">
        <v>27</v>
      </c>
      <c r="L3" s="57" t="s">
        <v>27</v>
      </c>
      <c r="M3" s="57" t="s">
        <v>27</v>
      </c>
      <c r="N3" s="57" t="s">
        <v>27</v>
      </c>
      <c r="O3" s="57" t="s">
        <v>27</v>
      </c>
      <c r="P3" s="57" t="s">
        <v>27</v>
      </c>
      <c r="Q3" s="57" t="s">
        <v>27</v>
      </c>
      <c r="R3" s="57" t="s">
        <v>27</v>
      </c>
      <c r="S3" s="57" t="s">
        <v>27</v>
      </c>
      <c r="T3" s="57" t="s">
        <v>27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26</v>
      </c>
      <c r="K4" s="14">
        <v>1000</v>
      </c>
      <c r="L4" s="14">
        <v>1000</v>
      </c>
      <c r="M4" s="14">
        <v>1000</v>
      </c>
      <c r="N4" s="14">
        <v>1000</v>
      </c>
      <c r="O4" s="14">
        <v>1000</v>
      </c>
      <c r="P4" s="14">
        <v>1000</v>
      </c>
      <c r="Q4" s="14">
        <v>1000</v>
      </c>
      <c r="R4" s="14">
        <v>1000</v>
      </c>
      <c r="S4" s="14">
        <v>1000</v>
      </c>
      <c r="T4" s="14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29</v>
      </c>
      <c r="K5" s="14" t="s">
        <v>1</v>
      </c>
      <c r="L5" s="14" t="s">
        <v>1</v>
      </c>
      <c r="M5" s="14" t="s">
        <v>1</v>
      </c>
      <c r="N5" s="14" t="s">
        <v>1</v>
      </c>
      <c r="O5" s="14" t="s">
        <v>1</v>
      </c>
      <c r="P5" s="14" t="s">
        <v>1</v>
      </c>
      <c r="Q5" s="14" t="s">
        <v>1</v>
      </c>
      <c r="R5" s="14" t="s">
        <v>1</v>
      </c>
      <c r="S5" s="14" t="s">
        <v>1</v>
      </c>
      <c r="T5" s="14" t="s">
        <v>1</v>
      </c>
    </row>
    <row r="6" spans="1:20" s="53" customFormat="1" x14ac:dyDescent="0.25">
      <c r="A6" s="56"/>
      <c r="B6" s="56"/>
      <c r="C6" s="56"/>
      <c r="D6" s="56"/>
      <c r="E6" s="6"/>
      <c r="F6" s="6"/>
      <c r="G6" s="56"/>
      <c r="H6" s="6"/>
      <c r="I6" s="6"/>
      <c r="J6" s="50" t="s">
        <v>52</v>
      </c>
      <c r="K6" s="57">
        <v>1</v>
      </c>
      <c r="L6" s="57">
        <v>1</v>
      </c>
      <c r="M6" s="57">
        <v>1</v>
      </c>
      <c r="N6" s="57">
        <v>1</v>
      </c>
      <c r="O6" s="57">
        <v>1</v>
      </c>
      <c r="P6" s="57">
        <v>1</v>
      </c>
      <c r="Q6" s="57">
        <v>1</v>
      </c>
      <c r="R6" s="57">
        <v>1</v>
      </c>
      <c r="S6" s="57">
        <v>1</v>
      </c>
      <c r="T6" s="57">
        <v>1</v>
      </c>
    </row>
    <row r="7" spans="1:20" s="53" customFormat="1" x14ac:dyDescent="0.25">
      <c r="A7" s="56"/>
      <c r="B7" s="56"/>
      <c r="C7" s="56"/>
      <c r="D7" s="56"/>
      <c r="E7" s="6"/>
      <c r="F7" s="6"/>
      <c r="G7" s="56"/>
      <c r="H7" s="6"/>
      <c r="I7" s="6"/>
      <c r="J7" s="50" t="s">
        <v>3</v>
      </c>
      <c r="K7" s="57" t="s">
        <v>4</v>
      </c>
      <c r="L7" s="57">
        <v>2</v>
      </c>
      <c r="M7" s="57" t="s">
        <v>4</v>
      </c>
      <c r="N7" s="57" t="s">
        <v>4</v>
      </c>
      <c r="O7" s="57" t="s">
        <v>4</v>
      </c>
      <c r="P7" s="57" t="s">
        <v>4</v>
      </c>
      <c r="Q7" s="57" t="s">
        <v>4</v>
      </c>
      <c r="R7" s="57" t="s">
        <v>4</v>
      </c>
      <c r="S7" s="57" t="s">
        <v>4</v>
      </c>
      <c r="T7" s="57" t="s">
        <v>4</v>
      </c>
    </row>
    <row r="8" spans="1:20" s="53" customFormat="1" x14ac:dyDescent="0.25">
      <c r="A8" s="56"/>
      <c r="B8" s="56"/>
      <c r="C8" s="56"/>
      <c r="D8" s="56"/>
      <c r="E8" s="6"/>
      <c r="F8" s="6"/>
      <c r="G8" s="56"/>
      <c r="H8" s="6"/>
      <c r="I8" s="6"/>
      <c r="J8" s="50" t="s">
        <v>1201</v>
      </c>
      <c r="K8" s="57" t="s">
        <v>1526</v>
      </c>
      <c r="L8" s="57" t="s">
        <v>1527</v>
      </c>
      <c r="M8" s="57" t="s">
        <v>1528</v>
      </c>
      <c r="N8" s="57" t="s">
        <v>1529</v>
      </c>
      <c r="O8" s="57" t="s">
        <v>1530</v>
      </c>
      <c r="P8" s="57" t="s">
        <v>1531</v>
      </c>
      <c r="Q8" s="57" t="s">
        <v>1532</v>
      </c>
      <c r="R8" s="57" t="s">
        <v>1533</v>
      </c>
      <c r="S8" s="57" t="s">
        <v>1534</v>
      </c>
      <c r="T8" s="57" t="s">
        <v>1535</v>
      </c>
    </row>
    <row r="9" spans="1:20" s="53" customFormat="1" x14ac:dyDescent="0.25">
      <c r="A9" s="56"/>
      <c r="B9" s="56"/>
      <c r="C9" s="56"/>
      <c r="D9" s="56"/>
      <c r="E9" s="6"/>
      <c r="F9" s="6"/>
      <c r="G9" s="56"/>
      <c r="H9" s="6"/>
      <c r="I9" s="6"/>
      <c r="J9" s="50" t="s">
        <v>1557</v>
      </c>
      <c r="K9" s="57" t="s">
        <v>1559</v>
      </c>
      <c r="L9" s="57" t="s">
        <v>1559</v>
      </c>
      <c r="M9" s="57" t="s">
        <v>1558</v>
      </c>
      <c r="N9" s="57" t="s">
        <v>1559</v>
      </c>
      <c r="O9" s="57" t="s">
        <v>1558</v>
      </c>
      <c r="P9" s="57" t="s">
        <v>1558</v>
      </c>
      <c r="Q9" s="57" t="s">
        <v>1558</v>
      </c>
      <c r="R9" s="57" t="s">
        <v>1559</v>
      </c>
      <c r="S9" s="57" t="s">
        <v>1559</v>
      </c>
      <c r="T9" s="57" t="s">
        <v>1558</v>
      </c>
    </row>
    <row r="10" spans="1:20" x14ac:dyDescent="0.25">
      <c r="A10" s="5"/>
      <c r="B10" s="4" t="s">
        <v>48</v>
      </c>
      <c r="C10" s="4" t="s">
        <v>30</v>
      </c>
      <c r="D10" s="13" t="s">
        <v>31</v>
      </c>
      <c r="E10" s="13" t="s">
        <v>32</v>
      </c>
      <c r="F10" s="4" t="s">
        <v>49</v>
      </c>
      <c r="G10" s="4" t="s">
        <v>50</v>
      </c>
      <c r="H10" s="4" t="s">
        <v>51</v>
      </c>
      <c r="I10" s="4" t="s">
        <v>33</v>
      </c>
      <c r="J10" s="3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0" x14ac:dyDescent="0.25">
      <c r="A11" s="5"/>
      <c r="B11" s="12" t="s">
        <v>38</v>
      </c>
      <c r="C11" t="s">
        <v>1240</v>
      </c>
      <c r="D11" t="s">
        <v>1</v>
      </c>
      <c r="F11" s="1"/>
      <c r="G11" s="1" t="s">
        <v>82</v>
      </c>
      <c r="I11" s="1"/>
      <c r="K11" s="9">
        <v>765</v>
      </c>
      <c r="M11" s="9"/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39</v>
      </c>
      <c r="C12" t="s">
        <v>1239</v>
      </c>
      <c r="D12" t="s">
        <v>1</v>
      </c>
      <c r="F12" s="1"/>
      <c r="G12" s="1" t="s">
        <v>82</v>
      </c>
      <c r="I12" s="1"/>
      <c r="K12" s="9"/>
      <c r="L12" s="9">
        <v>800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40</v>
      </c>
      <c r="C13" t="s">
        <v>1241</v>
      </c>
      <c r="D13" t="s">
        <v>1</v>
      </c>
      <c r="F13" s="1"/>
      <c r="G13" s="17" t="s">
        <v>82</v>
      </c>
      <c r="I13" s="1"/>
      <c r="K13" s="9"/>
      <c r="L13" s="9"/>
      <c r="M13" s="9">
        <v>765</v>
      </c>
      <c r="N13" s="63"/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41</v>
      </c>
      <c r="C14" t="s">
        <v>36</v>
      </c>
      <c r="D14" t="s">
        <v>1</v>
      </c>
      <c r="F14" s="1"/>
      <c r="G14" s="17" t="s">
        <v>82</v>
      </c>
      <c r="I14" s="1"/>
      <c r="K14" s="9"/>
      <c r="L14" s="9"/>
      <c r="M14" s="9"/>
      <c r="N14" s="63">
        <v>1145</v>
      </c>
      <c r="O14" s="9"/>
      <c r="P14" s="9"/>
      <c r="Q14" s="9"/>
      <c r="R14" s="9"/>
      <c r="S14" s="9"/>
      <c r="T14" s="9"/>
    </row>
    <row r="15" spans="1:20" x14ac:dyDescent="0.25">
      <c r="A15" s="5"/>
      <c r="B15" s="12" t="s">
        <v>42</v>
      </c>
      <c r="C15" t="s">
        <v>37</v>
      </c>
      <c r="D15" t="s">
        <v>1</v>
      </c>
      <c r="F15" s="1"/>
      <c r="G15" s="17" t="s">
        <v>82</v>
      </c>
      <c r="I15" s="1"/>
      <c r="K15" s="9"/>
      <c r="L15" s="9"/>
      <c r="M15" s="9"/>
      <c r="N15" s="63"/>
      <c r="O15" s="63">
        <v>1135</v>
      </c>
      <c r="P15" s="9">
        <v>1335.2014118086324</v>
      </c>
      <c r="Q15" s="9">
        <v>1335.2014118086324</v>
      </c>
      <c r="R15" s="9"/>
      <c r="S15" s="9"/>
      <c r="T15" s="9"/>
    </row>
    <row r="16" spans="1:20" x14ac:dyDescent="0.25">
      <c r="A16" s="5"/>
      <c r="B16" s="12" t="s">
        <v>43</v>
      </c>
      <c r="C16" t="s">
        <v>84</v>
      </c>
      <c r="D16" t="s">
        <v>1</v>
      </c>
      <c r="F16" s="1"/>
      <c r="G16" s="17" t="s">
        <v>82</v>
      </c>
      <c r="I16" s="1"/>
      <c r="K16" s="9"/>
      <c r="L16" s="9"/>
      <c r="M16" s="9"/>
      <c r="N16" s="63"/>
      <c r="O16" s="63"/>
      <c r="P16" s="9"/>
      <c r="Q16" s="9"/>
      <c r="R16" s="9">
        <v>710</v>
      </c>
      <c r="S16" s="9">
        <v>710</v>
      </c>
      <c r="T16" s="9">
        <v>710</v>
      </c>
    </row>
    <row r="17" spans="1:20" x14ac:dyDescent="0.25">
      <c r="A17" s="5"/>
      <c r="B17" s="12" t="s">
        <v>44</v>
      </c>
      <c r="C17" t="s">
        <v>594</v>
      </c>
      <c r="D17" t="s">
        <v>1</v>
      </c>
      <c r="F17" s="1"/>
      <c r="G17" s="17" t="s">
        <v>82</v>
      </c>
      <c r="I17" s="1"/>
      <c r="K17" s="9"/>
      <c r="L17" s="9"/>
      <c r="M17" s="9"/>
      <c r="N17" s="63"/>
      <c r="O17" s="63"/>
      <c r="P17" s="9"/>
      <c r="Q17" s="9"/>
      <c r="R17" s="9"/>
      <c r="S17" s="9"/>
      <c r="T17" s="9"/>
    </row>
    <row r="18" spans="1:20" x14ac:dyDescent="0.25">
      <c r="A18" s="5"/>
      <c r="B18" s="12" t="s">
        <v>45</v>
      </c>
      <c r="C18" t="s">
        <v>1242</v>
      </c>
      <c r="D18" t="s">
        <v>1</v>
      </c>
      <c r="F18" s="1"/>
      <c r="G18" s="17" t="s">
        <v>82</v>
      </c>
      <c r="I18" s="1"/>
      <c r="K18" s="9"/>
      <c r="L18" s="9"/>
      <c r="M18" s="9"/>
      <c r="N18" s="63">
        <v>335</v>
      </c>
      <c r="O18" s="63">
        <v>332</v>
      </c>
      <c r="P18" s="9"/>
      <c r="Q18" s="9"/>
      <c r="R18" s="9"/>
      <c r="S18" s="9"/>
      <c r="T18" s="9"/>
    </row>
    <row r="19" spans="1:20" x14ac:dyDescent="0.25">
      <c r="A19" s="5"/>
      <c r="B19" s="12" t="s">
        <v>46</v>
      </c>
      <c r="C19" t="s">
        <v>1243</v>
      </c>
      <c r="D19" t="s">
        <v>1</v>
      </c>
      <c r="F19" s="1"/>
      <c r="G19" s="17" t="s">
        <v>82</v>
      </c>
      <c r="I19" s="1"/>
      <c r="K19" s="9"/>
      <c r="L19" s="9"/>
      <c r="M19" s="9"/>
      <c r="N19" s="63"/>
      <c r="O19" s="63"/>
      <c r="P19" s="9"/>
      <c r="Q19" s="9"/>
      <c r="R19" s="9">
        <v>528</v>
      </c>
      <c r="S19" s="9"/>
      <c r="T19" s="9"/>
    </row>
    <row r="20" spans="1:20" x14ac:dyDescent="0.25">
      <c r="A20" s="5"/>
      <c r="B20" s="12" t="s">
        <v>47</v>
      </c>
      <c r="C20" t="s">
        <v>1244</v>
      </c>
      <c r="D20" t="s">
        <v>1</v>
      </c>
      <c r="F20" s="1"/>
      <c r="G20" s="17" t="s">
        <v>82</v>
      </c>
      <c r="I20" s="1"/>
      <c r="K20" s="9"/>
      <c r="L20" s="9"/>
      <c r="M20" s="9"/>
      <c r="N20" s="9"/>
      <c r="O20" s="9"/>
      <c r="P20" s="9"/>
      <c r="Q20" s="9"/>
      <c r="R20" s="9"/>
      <c r="S20" s="9">
        <v>528</v>
      </c>
      <c r="T20" s="9"/>
    </row>
    <row r="21" spans="1:20" x14ac:dyDescent="0.25">
      <c r="A21" s="5"/>
      <c r="B21" s="12" t="s">
        <v>1265</v>
      </c>
      <c r="C21" t="s">
        <v>1266</v>
      </c>
      <c r="D21" t="s">
        <v>1</v>
      </c>
      <c r="F21" s="1"/>
      <c r="G21" s="17" t="s">
        <v>82</v>
      </c>
      <c r="I21" s="1"/>
      <c r="K21" s="9"/>
      <c r="L21" s="9"/>
      <c r="M21" s="9"/>
      <c r="N21" s="9"/>
      <c r="O21" s="9"/>
      <c r="P21" s="9"/>
      <c r="Q21" s="9"/>
      <c r="R21" s="9"/>
      <c r="S21" s="9"/>
      <c r="T21" s="9">
        <v>529</v>
      </c>
    </row>
    <row r="22" spans="1:20" x14ac:dyDescent="0.25">
      <c r="A22" s="5"/>
      <c r="B22" s="12" t="s">
        <v>81</v>
      </c>
      <c r="C22" t="s">
        <v>1552</v>
      </c>
      <c r="D22" t="s">
        <v>1</v>
      </c>
      <c r="F22" s="1"/>
      <c r="G22" s="17" t="s">
        <v>82</v>
      </c>
      <c r="I22" s="1"/>
      <c r="K22" s="9"/>
      <c r="L22" s="9"/>
      <c r="M22" s="9"/>
      <c r="N22" s="9"/>
      <c r="O22" s="9"/>
      <c r="P22" s="9"/>
      <c r="Q22" s="9"/>
      <c r="R22" s="9">
        <v>-220</v>
      </c>
      <c r="S22" s="9">
        <v>-220</v>
      </c>
      <c r="T22" s="9">
        <v>-220</v>
      </c>
    </row>
    <row r="23" spans="1:20" x14ac:dyDescent="0.25">
      <c r="B23" s="60" t="s">
        <v>62</v>
      </c>
      <c r="C23" s="61" t="s">
        <v>1229</v>
      </c>
      <c r="D23" s="61" t="s">
        <v>1191</v>
      </c>
      <c r="E23" s="61" t="s">
        <v>5</v>
      </c>
      <c r="F23" s="61"/>
      <c r="G23" s="62" t="s">
        <v>82</v>
      </c>
      <c r="H23" s="61"/>
      <c r="I23" s="61"/>
      <c r="K23" s="59"/>
      <c r="L23" s="59"/>
      <c r="M23" s="59"/>
      <c r="N23" s="59">
        <v>1000</v>
      </c>
      <c r="O23" s="59"/>
      <c r="P23" s="59"/>
      <c r="Q23" s="59"/>
      <c r="R23" s="59"/>
      <c r="S23" s="59"/>
      <c r="T23" s="59"/>
    </row>
    <row r="24" spans="1:20" x14ac:dyDescent="0.25">
      <c r="B24" s="60" t="s">
        <v>63</v>
      </c>
      <c r="C24" s="61" t="s">
        <v>1568</v>
      </c>
      <c r="D24" s="61" t="s">
        <v>1191</v>
      </c>
      <c r="E24" s="61" t="s">
        <v>1574</v>
      </c>
      <c r="F24" s="61"/>
      <c r="G24" s="62" t="s">
        <v>82</v>
      </c>
      <c r="H24" s="61"/>
      <c r="I24" s="61"/>
      <c r="K24" s="59"/>
      <c r="L24" s="59"/>
      <c r="M24" s="59"/>
      <c r="N24" s="59"/>
      <c r="O24" s="59">
        <v>1000</v>
      </c>
      <c r="P24" s="59">
        <v>1149</v>
      </c>
      <c r="Q24" s="59">
        <v>1149</v>
      </c>
      <c r="R24" s="59"/>
      <c r="S24" s="59"/>
      <c r="T24" s="59"/>
    </row>
    <row r="25" spans="1:20" x14ac:dyDescent="0.25">
      <c r="B25" s="60" t="s">
        <v>64</v>
      </c>
      <c r="C25" s="61" t="s">
        <v>1569</v>
      </c>
      <c r="D25" s="61" t="s">
        <v>1191</v>
      </c>
      <c r="E25" s="61" t="s">
        <v>6</v>
      </c>
      <c r="F25" s="61"/>
      <c r="G25" s="62" t="s">
        <v>82</v>
      </c>
      <c r="H25" s="61"/>
      <c r="I25" s="61"/>
      <c r="K25" s="59"/>
      <c r="L25" s="59"/>
      <c r="M25" s="59"/>
      <c r="N25" s="59">
        <v>1000</v>
      </c>
      <c r="O25" s="59"/>
      <c r="P25" s="59"/>
      <c r="Q25" s="59"/>
      <c r="R25" s="59"/>
      <c r="S25" s="59"/>
      <c r="T25" s="59"/>
    </row>
    <row r="26" spans="1:20" x14ac:dyDescent="0.25">
      <c r="B26" s="60" t="s">
        <v>65</v>
      </c>
      <c r="C26" s="61" t="s">
        <v>1570</v>
      </c>
      <c r="D26" s="61" t="s">
        <v>1191</v>
      </c>
      <c r="E26" s="61" t="s">
        <v>1573</v>
      </c>
      <c r="F26" s="61"/>
      <c r="G26" s="62" t="s">
        <v>82</v>
      </c>
      <c r="H26" s="61"/>
      <c r="I26" s="61"/>
      <c r="K26" s="59"/>
      <c r="L26" s="59"/>
      <c r="M26" s="59"/>
      <c r="N26" s="59"/>
      <c r="O26" s="59">
        <v>1000</v>
      </c>
      <c r="P26" s="59">
        <v>1149</v>
      </c>
      <c r="Q26" s="59">
        <v>1149</v>
      </c>
      <c r="R26" s="59"/>
      <c r="S26" s="59"/>
      <c r="T26" s="59"/>
    </row>
    <row r="27" spans="1:20" x14ac:dyDescent="0.25">
      <c r="B27" s="60" t="s">
        <v>66</v>
      </c>
      <c r="C27" s="61" t="s">
        <v>1553</v>
      </c>
      <c r="D27" s="61" t="s">
        <v>1191</v>
      </c>
      <c r="E27" s="61" t="s">
        <v>7</v>
      </c>
      <c r="F27" s="61"/>
      <c r="G27" s="62" t="s">
        <v>82</v>
      </c>
      <c r="H27" s="61"/>
      <c r="I27" s="61"/>
      <c r="K27" s="59"/>
      <c r="L27" s="59"/>
      <c r="M27" s="59"/>
      <c r="N27" s="59">
        <v>1000</v>
      </c>
      <c r="O27" s="59"/>
      <c r="P27" s="59"/>
      <c r="Q27" s="59"/>
      <c r="R27" s="59"/>
      <c r="S27" s="59"/>
      <c r="T27" s="59"/>
    </row>
    <row r="28" spans="1:20" x14ac:dyDescent="0.25">
      <c r="B28" s="60" t="s">
        <v>67</v>
      </c>
      <c r="C28" s="61" t="s">
        <v>1571</v>
      </c>
      <c r="D28" s="61" t="s">
        <v>1191</v>
      </c>
      <c r="E28" s="61" t="s">
        <v>1572</v>
      </c>
      <c r="F28" s="61"/>
      <c r="G28" s="62" t="s">
        <v>82</v>
      </c>
      <c r="H28" s="61"/>
      <c r="I28" s="61"/>
      <c r="K28" s="59"/>
      <c r="L28" s="59"/>
      <c r="M28" s="59"/>
      <c r="N28" s="59"/>
      <c r="O28" s="59">
        <v>1000</v>
      </c>
      <c r="P28" s="59">
        <v>1149</v>
      </c>
      <c r="Q28" s="59">
        <v>1149</v>
      </c>
      <c r="R28" s="59"/>
      <c r="S28" s="59"/>
      <c r="T28" s="59"/>
    </row>
    <row r="29" spans="1:20" x14ac:dyDescent="0.25">
      <c r="B29" s="60" t="s">
        <v>68</v>
      </c>
      <c r="C29" s="61" t="s">
        <v>1230</v>
      </c>
      <c r="D29" s="61" t="s">
        <v>1191</v>
      </c>
      <c r="E29" s="61" t="s">
        <v>8</v>
      </c>
      <c r="F29" s="61"/>
      <c r="G29" s="62" t="s">
        <v>82</v>
      </c>
      <c r="H29" s="61"/>
      <c r="I29" s="61"/>
      <c r="K29" s="59"/>
      <c r="L29" s="59"/>
      <c r="M29" s="59"/>
      <c r="N29" s="59">
        <v>1000</v>
      </c>
      <c r="O29" s="59"/>
      <c r="P29" s="59"/>
      <c r="Q29" s="59"/>
      <c r="R29" s="59"/>
      <c r="S29" s="59"/>
      <c r="T29" s="59"/>
    </row>
    <row r="30" spans="1:20" x14ac:dyDescent="0.25">
      <c r="B30" s="60" t="s">
        <v>69</v>
      </c>
      <c r="C30" s="61" t="s">
        <v>1586</v>
      </c>
      <c r="D30" s="61" t="s">
        <v>1191</v>
      </c>
      <c r="E30" s="61" t="s">
        <v>1589</v>
      </c>
      <c r="F30" s="61"/>
      <c r="G30" s="62" t="s">
        <v>82</v>
      </c>
      <c r="H30" s="61"/>
      <c r="I30" s="61"/>
      <c r="K30" s="59"/>
      <c r="L30" s="59"/>
      <c r="M30" s="59"/>
      <c r="N30" s="59"/>
      <c r="O30" s="59">
        <v>1000</v>
      </c>
      <c r="P30" s="59">
        <v>1149</v>
      </c>
      <c r="Q30" s="59">
        <v>1149</v>
      </c>
      <c r="R30" s="59"/>
      <c r="S30" s="59"/>
      <c r="T30" s="59"/>
    </row>
    <row r="31" spans="1:20" x14ac:dyDescent="0.25">
      <c r="B31" s="60" t="s">
        <v>70</v>
      </c>
      <c r="C31" s="61" t="s">
        <v>1231</v>
      </c>
      <c r="D31" s="61" t="s">
        <v>1191</v>
      </c>
      <c r="E31" s="61" t="s">
        <v>9</v>
      </c>
      <c r="F31" s="61"/>
      <c r="G31" s="62" t="s">
        <v>82</v>
      </c>
      <c r="H31" s="61"/>
      <c r="I31" s="61"/>
      <c r="K31" s="59"/>
      <c r="L31" s="59"/>
      <c r="M31" s="59"/>
      <c r="N31" s="59">
        <v>1000</v>
      </c>
      <c r="O31" s="59"/>
      <c r="P31" s="59"/>
      <c r="Q31" s="59"/>
      <c r="R31" s="59"/>
      <c r="S31" s="59"/>
      <c r="T31" s="59"/>
    </row>
    <row r="32" spans="1:20" x14ac:dyDescent="0.25">
      <c r="B32" s="60" t="s">
        <v>71</v>
      </c>
      <c r="C32" s="61" t="s">
        <v>1587</v>
      </c>
      <c r="D32" s="61" t="s">
        <v>1191</v>
      </c>
      <c r="E32" s="61" t="s">
        <v>1590</v>
      </c>
      <c r="F32" s="61"/>
      <c r="G32" s="62" t="s">
        <v>82</v>
      </c>
      <c r="H32" s="61"/>
      <c r="I32" s="61"/>
      <c r="K32" s="59"/>
      <c r="L32" s="59"/>
      <c r="M32" s="59"/>
      <c r="N32" s="59"/>
      <c r="O32" s="59">
        <v>1000</v>
      </c>
      <c r="P32" s="59">
        <v>1149</v>
      </c>
      <c r="Q32" s="59">
        <v>1149</v>
      </c>
      <c r="R32" s="59"/>
      <c r="S32" s="59"/>
      <c r="T32" s="59"/>
    </row>
    <row r="33" spans="2:20" x14ac:dyDescent="0.25">
      <c r="B33" s="60" t="s">
        <v>1601</v>
      </c>
      <c r="C33" s="61" t="s">
        <v>1234</v>
      </c>
      <c r="D33" s="61" t="s">
        <v>1191</v>
      </c>
      <c r="E33" s="61" t="s">
        <v>11</v>
      </c>
      <c r="F33" s="61"/>
      <c r="G33" s="62" t="s">
        <v>82</v>
      </c>
      <c r="H33" s="61"/>
      <c r="I33" s="61"/>
      <c r="K33" s="59"/>
      <c r="L33" s="59"/>
      <c r="M33" s="59"/>
      <c r="N33" s="59">
        <v>1000</v>
      </c>
      <c r="O33" s="59"/>
      <c r="P33" s="59"/>
      <c r="Q33" s="59"/>
      <c r="R33" s="59"/>
      <c r="S33" s="59"/>
      <c r="T33" s="59"/>
    </row>
    <row r="34" spans="2:20" x14ac:dyDescent="0.25">
      <c r="B34" s="60" t="s">
        <v>1602</v>
      </c>
      <c r="C34" s="61" t="s">
        <v>1588</v>
      </c>
      <c r="D34" s="61" t="s">
        <v>1191</v>
      </c>
      <c r="E34" s="61" t="s">
        <v>1591</v>
      </c>
      <c r="F34" s="61"/>
      <c r="G34" s="62" t="s">
        <v>82</v>
      </c>
      <c r="H34" s="61"/>
      <c r="I34" s="61"/>
      <c r="K34" s="59"/>
      <c r="L34" s="59"/>
      <c r="M34" s="59"/>
      <c r="N34" s="59"/>
      <c r="O34" s="59">
        <v>1000</v>
      </c>
      <c r="P34" s="59">
        <v>1149</v>
      </c>
      <c r="Q34" s="59">
        <v>1149</v>
      </c>
      <c r="R34" s="59"/>
      <c r="S34" s="59"/>
      <c r="T34" s="59"/>
    </row>
    <row r="35" spans="2:20" x14ac:dyDescent="0.25">
      <c r="B35" s="60" t="s">
        <v>1603</v>
      </c>
      <c r="C35" s="61" t="s">
        <v>1233</v>
      </c>
      <c r="D35" s="61" t="s">
        <v>1191</v>
      </c>
      <c r="E35" s="61" t="s">
        <v>12</v>
      </c>
      <c r="F35" s="61"/>
      <c r="G35" s="62" t="s">
        <v>82</v>
      </c>
      <c r="H35" s="61"/>
      <c r="I35" s="61"/>
      <c r="K35" s="59"/>
      <c r="L35" s="59"/>
      <c r="M35" s="59"/>
      <c r="N35" s="59">
        <v>1000</v>
      </c>
      <c r="O35" s="59"/>
      <c r="P35" s="59"/>
      <c r="Q35" s="59"/>
      <c r="R35" s="59"/>
      <c r="S35" s="59"/>
      <c r="T35" s="59"/>
    </row>
    <row r="36" spans="2:20" x14ac:dyDescent="0.25">
      <c r="B36" s="60" t="s">
        <v>1604</v>
      </c>
      <c r="C36" s="61" t="s">
        <v>1584</v>
      </c>
      <c r="D36" s="61" t="s">
        <v>1191</v>
      </c>
      <c r="E36" s="61" t="s">
        <v>1585</v>
      </c>
      <c r="F36" s="61"/>
      <c r="G36" s="62" t="s">
        <v>82</v>
      </c>
      <c r="H36" s="61"/>
      <c r="I36" s="61"/>
      <c r="K36" s="59"/>
      <c r="L36" s="59"/>
      <c r="M36" s="59"/>
      <c r="N36" s="59"/>
      <c r="O36" s="59">
        <v>1000</v>
      </c>
      <c r="P36" s="59">
        <v>1149</v>
      </c>
      <c r="Q36" s="59">
        <v>1149</v>
      </c>
      <c r="R36" s="59"/>
      <c r="S36" s="59"/>
      <c r="T36" s="59"/>
    </row>
    <row r="37" spans="2:20" x14ac:dyDescent="0.25">
      <c r="B37" s="60" t="s">
        <v>1605</v>
      </c>
      <c r="C37" s="61" t="s">
        <v>1232</v>
      </c>
      <c r="D37" s="61" t="s">
        <v>1191</v>
      </c>
      <c r="E37" s="61" t="s">
        <v>10</v>
      </c>
      <c r="F37" s="61"/>
      <c r="G37" s="62" t="s">
        <v>82</v>
      </c>
      <c r="H37" s="61"/>
      <c r="I37" s="61"/>
      <c r="K37" s="59">
        <v>1000</v>
      </c>
      <c r="L37" s="59"/>
      <c r="M37" s="59"/>
      <c r="N37" s="59"/>
      <c r="O37" s="59"/>
      <c r="P37" s="59"/>
      <c r="Q37" s="59"/>
      <c r="R37" s="59"/>
      <c r="S37" s="59"/>
      <c r="T37" s="59"/>
    </row>
    <row r="38" spans="2:20" x14ac:dyDescent="0.25">
      <c r="B38" s="60" t="s">
        <v>1606</v>
      </c>
      <c r="C38" s="61" t="s">
        <v>1575</v>
      </c>
      <c r="D38" s="61" t="s">
        <v>1191</v>
      </c>
      <c r="E38" s="61" t="s">
        <v>1580</v>
      </c>
      <c r="F38" s="61"/>
      <c r="G38" s="62" t="s">
        <v>82</v>
      </c>
      <c r="H38" s="61"/>
      <c r="I38" s="61"/>
      <c r="K38" s="59"/>
      <c r="L38" s="59">
        <v>1000</v>
      </c>
      <c r="M38" s="59"/>
      <c r="N38" s="59"/>
      <c r="O38" s="59"/>
      <c r="P38" s="59"/>
      <c r="Q38" s="59"/>
      <c r="R38" s="59"/>
      <c r="S38" s="59"/>
      <c r="T38" s="59"/>
    </row>
    <row r="39" spans="2:20" x14ac:dyDescent="0.25">
      <c r="B39" s="60" t="s">
        <v>1607</v>
      </c>
      <c r="C39" s="61" t="s">
        <v>1576</v>
      </c>
      <c r="D39" s="61" t="s">
        <v>1191</v>
      </c>
      <c r="E39" s="61" t="s">
        <v>1581</v>
      </c>
      <c r="F39" s="61"/>
      <c r="G39" s="62" t="s">
        <v>82</v>
      </c>
      <c r="H39" s="61"/>
      <c r="I39" s="61"/>
      <c r="K39" s="59"/>
      <c r="L39" s="59"/>
      <c r="M39" s="59">
        <v>1000</v>
      </c>
      <c r="N39" s="59"/>
      <c r="O39" s="59"/>
      <c r="P39" s="59"/>
      <c r="Q39" s="59"/>
      <c r="R39" s="59"/>
      <c r="S39" s="59"/>
      <c r="T39" s="59"/>
    </row>
    <row r="40" spans="2:20" x14ac:dyDescent="0.25">
      <c r="B40" s="60" t="s">
        <v>1608</v>
      </c>
      <c r="C40" s="61" t="s">
        <v>1577</v>
      </c>
      <c r="D40" s="61" t="s">
        <v>1191</v>
      </c>
      <c r="E40" s="61" t="s">
        <v>12</v>
      </c>
      <c r="F40" s="61"/>
      <c r="G40" s="62" t="s">
        <v>82</v>
      </c>
      <c r="H40" s="61"/>
      <c r="I40" s="61"/>
      <c r="K40" s="59">
        <v>1000</v>
      </c>
      <c r="L40" s="59"/>
      <c r="M40" s="59"/>
      <c r="N40" s="59"/>
      <c r="O40" s="59"/>
      <c r="P40" s="59"/>
      <c r="Q40" s="59"/>
      <c r="R40" s="59"/>
      <c r="S40" s="59"/>
      <c r="T40" s="59"/>
    </row>
    <row r="41" spans="2:20" x14ac:dyDescent="0.25">
      <c r="B41" s="60" t="s">
        <v>1609</v>
      </c>
      <c r="C41" s="61" t="s">
        <v>1578</v>
      </c>
      <c r="D41" s="61" t="s">
        <v>1191</v>
      </c>
      <c r="E41" s="61" t="s">
        <v>1582</v>
      </c>
      <c r="F41" s="61"/>
      <c r="G41" s="62" t="s">
        <v>82</v>
      </c>
      <c r="H41" s="61"/>
      <c r="I41" s="61"/>
      <c r="K41" s="59"/>
      <c r="L41" s="59">
        <v>1000</v>
      </c>
      <c r="M41" s="59"/>
      <c r="N41" s="59"/>
      <c r="O41" s="59"/>
      <c r="P41" s="59"/>
      <c r="Q41" s="59"/>
      <c r="R41" s="59"/>
      <c r="S41" s="59"/>
      <c r="T41" s="59"/>
    </row>
    <row r="42" spans="2:20" x14ac:dyDescent="0.25">
      <c r="B42" s="60" t="s">
        <v>943</v>
      </c>
      <c r="C42" s="61" t="s">
        <v>1579</v>
      </c>
      <c r="D42" s="61" t="s">
        <v>1191</v>
      </c>
      <c r="E42" s="61" t="s">
        <v>1583</v>
      </c>
      <c r="F42" s="61"/>
      <c r="G42" s="62" t="s">
        <v>82</v>
      </c>
      <c r="H42" s="61"/>
      <c r="I42" s="61"/>
      <c r="K42" s="59"/>
      <c r="L42" s="59"/>
      <c r="M42" s="59">
        <v>1000</v>
      </c>
      <c r="N42" s="59"/>
      <c r="O42" s="59"/>
      <c r="P42" s="59"/>
      <c r="Q42" s="59"/>
      <c r="R42" s="59"/>
      <c r="S42" s="59"/>
      <c r="T42" s="59"/>
    </row>
    <row r="43" spans="2:20" x14ac:dyDescent="0.25">
      <c r="B43" s="12" t="s">
        <v>72</v>
      </c>
      <c r="C43" s="43" t="s">
        <v>1554</v>
      </c>
      <c r="D43" t="s">
        <v>34</v>
      </c>
      <c r="E43" t="s">
        <v>13</v>
      </c>
      <c r="G43" s="17" t="s">
        <v>82</v>
      </c>
      <c r="R43" s="8">
        <v>1661.3948671402834</v>
      </c>
      <c r="S43" s="8">
        <v>1661.3948671402834</v>
      </c>
      <c r="T43" s="8">
        <v>1448.9588847278146</v>
      </c>
    </row>
    <row r="44" spans="2:20" x14ac:dyDescent="0.25">
      <c r="B44" s="12" t="s">
        <v>73</v>
      </c>
      <c r="C44" s="43" t="s">
        <v>1235</v>
      </c>
      <c r="D44" t="s">
        <v>34</v>
      </c>
      <c r="E44" t="s">
        <v>14</v>
      </c>
      <c r="G44" s="17" t="s">
        <v>82</v>
      </c>
      <c r="N44" s="64">
        <v>1000</v>
      </c>
      <c r="O44" s="64">
        <v>820</v>
      </c>
      <c r="P44" s="8">
        <v>900</v>
      </c>
      <c r="Q44" s="8">
        <v>900</v>
      </c>
    </row>
    <row r="45" spans="2:20" x14ac:dyDescent="0.25">
      <c r="B45" s="12" t="s">
        <v>74</v>
      </c>
      <c r="C45" s="43" t="s">
        <v>1236</v>
      </c>
      <c r="D45" t="s">
        <v>34</v>
      </c>
      <c r="E45" t="s">
        <v>15</v>
      </c>
      <c r="G45" s="17" t="s">
        <v>82</v>
      </c>
      <c r="N45" s="64">
        <v>850</v>
      </c>
      <c r="O45" s="64">
        <v>1000</v>
      </c>
      <c r="P45" s="8">
        <v>1014.9999999999999</v>
      </c>
      <c r="Q45" s="8">
        <v>1014.9999999999999</v>
      </c>
      <c r="R45" s="8">
        <v>270</v>
      </c>
      <c r="S45" s="8">
        <v>270</v>
      </c>
      <c r="T45" s="8">
        <v>272.51690043471905</v>
      </c>
    </row>
    <row r="46" spans="2:20" x14ac:dyDescent="0.25">
      <c r="B46" s="12" t="s">
        <v>75</v>
      </c>
      <c r="C46" s="43" t="s">
        <v>1237</v>
      </c>
      <c r="D46" t="s">
        <v>34</v>
      </c>
      <c r="E46" t="s">
        <v>16</v>
      </c>
      <c r="G46" s="17" t="s">
        <v>82</v>
      </c>
      <c r="N46" s="64">
        <v>200</v>
      </c>
      <c r="O46" s="64">
        <v>200</v>
      </c>
      <c r="R46" s="8">
        <v>270</v>
      </c>
      <c r="S46" s="8">
        <v>270</v>
      </c>
      <c r="T46" s="8">
        <v>270</v>
      </c>
    </row>
    <row r="47" spans="2:20" x14ac:dyDescent="0.25">
      <c r="B47" s="12" t="s">
        <v>76</v>
      </c>
      <c r="C47" s="43" t="s">
        <v>1238</v>
      </c>
      <c r="D47" t="s">
        <v>34</v>
      </c>
      <c r="E47" t="s">
        <v>17</v>
      </c>
      <c r="G47" s="17" t="s">
        <v>82</v>
      </c>
      <c r="N47" s="64">
        <v>6</v>
      </c>
      <c r="O47" s="64">
        <v>5.5</v>
      </c>
      <c r="R47" s="8">
        <v>100</v>
      </c>
      <c r="S47" s="8">
        <v>100</v>
      </c>
      <c r="T47" s="8">
        <v>100</v>
      </c>
    </row>
    <row r="48" spans="2:20" x14ac:dyDescent="0.25">
      <c r="B48" s="12" t="s">
        <v>77</v>
      </c>
      <c r="C48" s="43" t="s">
        <v>1245</v>
      </c>
      <c r="D48" t="s">
        <v>34</v>
      </c>
      <c r="E48" t="s">
        <v>18</v>
      </c>
      <c r="G48" s="17" t="s">
        <v>82</v>
      </c>
      <c r="N48" s="64">
        <v>800</v>
      </c>
      <c r="O48" s="64">
        <v>530</v>
      </c>
    </row>
    <row r="49" spans="2:17" x14ac:dyDescent="0.25">
      <c r="B49" s="12" t="s">
        <v>78</v>
      </c>
      <c r="C49" s="43" t="s">
        <v>1246</v>
      </c>
      <c r="D49" t="s">
        <v>34</v>
      </c>
      <c r="E49" t="s">
        <v>19</v>
      </c>
      <c r="G49" s="17" t="s">
        <v>82</v>
      </c>
      <c r="N49" s="64">
        <v>3</v>
      </c>
      <c r="O49" s="64">
        <v>5</v>
      </c>
    </row>
    <row r="50" spans="2:17" x14ac:dyDescent="0.25">
      <c r="B50" s="12" t="s">
        <v>79</v>
      </c>
      <c r="C50" s="43" t="s">
        <v>1247</v>
      </c>
      <c r="D50" t="s">
        <v>34</v>
      </c>
      <c r="E50" t="s">
        <v>20</v>
      </c>
      <c r="G50" s="17" t="s">
        <v>82</v>
      </c>
      <c r="N50" s="64">
        <v>80</v>
      </c>
      <c r="O50" s="64">
        <v>60</v>
      </c>
      <c r="P50" s="8">
        <v>70</v>
      </c>
      <c r="Q50" s="8">
        <v>70</v>
      </c>
    </row>
    <row r="51" spans="2:17" x14ac:dyDescent="0.25">
      <c r="B51" s="12" t="s">
        <v>80</v>
      </c>
      <c r="C51" s="43" t="s">
        <v>1249</v>
      </c>
      <c r="D51" t="s">
        <v>34</v>
      </c>
      <c r="E51" t="s">
        <v>21</v>
      </c>
      <c r="G51" s="17" t="s">
        <v>82</v>
      </c>
      <c r="N51" s="64"/>
      <c r="O51" s="64"/>
    </row>
    <row r="52" spans="2:17" x14ac:dyDescent="0.25">
      <c r="B52" s="12" t="s">
        <v>88</v>
      </c>
      <c r="C52" s="43" t="s">
        <v>1248</v>
      </c>
      <c r="D52" t="s">
        <v>34</v>
      </c>
      <c r="E52" t="s">
        <v>22</v>
      </c>
      <c r="G52" s="17" t="s">
        <v>82</v>
      </c>
      <c r="N52" s="64"/>
      <c r="O52" s="64"/>
      <c r="P52" s="8">
        <v>57</v>
      </c>
      <c r="Q52" s="8">
        <v>57</v>
      </c>
    </row>
    <row r="53" spans="2:17" x14ac:dyDescent="0.25">
      <c r="B53" s="12" t="s">
        <v>1592</v>
      </c>
      <c r="C53" s="43" t="s">
        <v>1255</v>
      </c>
      <c r="D53" t="s">
        <v>34</v>
      </c>
      <c r="E53" t="s">
        <v>23</v>
      </c>
      <c r="G53" s="17" t="s">
        <v>82</v>
      </c>
      <c r="N53" s="64"/>
      <c r="O53" s="64"/>
    </row>
    <row r="54" spans="2:17" x14ac:dyDescent="0.25">
      <c r="B54" s="12" t="s">
        <v>1593</v>
      </c>
      <c r="C54" s="43" t="s">
        <v>1254</v>
      </c>
      <c r="D54" t="s">
        <v>34</v>
      </c>
      <c r="E54" t="s">
        <v>24</v>
      </c>
      <c r="G54" t="s">
        <v>82</v>
      </c>
      <c r="N54" s="64"/>
      <c r="O54" s="64"/>
    </row>
    <row r="55" spans="2:17" x14ac:dyDescent="0.25">
      <c r="B55" s="12" t="s">
        <v>1594</v>
      </c>
      <c r="C55" s="43" t="s">
        <v>1252</v>
      </c>
      <c r="D55" t="s">
        <v>34</v>
      </c>
      <c r="E55" t="s">
        <v>1260</v>
      </c>
      <c r="G55" t="s">
        <v>82</v>
      </c>
      <c r="N55" s="64">
        <v>2000</v>
      </c>
    </row>
    <row r="56" spans="2:17" x14ac:dyDescent="0.25">
      <c r="B56" s="12" t="s">
        <v>1595</v>
      </c>
      <c r="C56" s="43" t="s">
        <v>1250</v>
      </c>
      <c r="D56" t="s">
        <v>1567</v>
      </c>
      <c r="E56" t="s">
        <v>1251</v>
      </c>
      <c r="G56" t="s">
        <v>82</v>
      </c>
      <c r="N56" s="64">
        <v>2000</v>
      </c>
      <c r="P56" s="8">
        <v>2200</v>
      </c>
    </row>
    <row r="57" spans="2:17" x14ac:dyDescent="0.25">
      <c r="B57" s="12" t="s">
        <v>1596</v>
      </c>
      <c r="C57" s="43" t="s">
        <v>1253</v>
      </c>
      <c r="D57" t="s">
        <v>34</v>
      </c>
      <c r="E57" t="s">
        <v>1256</v>
      </c>
      <c r="G57" t="s">
        <v>82</v>
      </c>
      <c r="N57" s="64"/>
    </row>
    <row r="58" spans="2:17" x14ac:dyDescent="0.25">
      <c r="B58" s="12" t="s">
        <v>1597</v>
      </c>
      <c r="C58" s="43" t="s">
        <v>1262</v>
      </c>
      <c r="D58" t="s">
        <v>34</v>
      </c>
      <c r="E58" t="s">
        <v>1261</v>
      </c>
      <c r="O58" s="64">
        <v>1600</v>
      </c>
      <c r="P58" s="8">
        <v>1500</v>
      </c>
      <c r="Q58" s="8">
        <v>1500</v>
      </c>
    </row>
    <row r="59" spans="2:17" x14ac:dyDescent="0.25">
      <c r="B59" s="12" t="s">
        <v>1598</v>
      </c>
      <c r="C59" s="43" t="s">
        <v>1263</v>
      </c>
      <c r="D59" t="s">
        <v>1567</v>
      </c>
      <c r="E59" t="s">
        <v>1258</v>
      </c>
      <c r="G59" t="s">
        <v>82</v>
      </c>
      <c r="O59" s="64">
        <v>3000</v>
      </c>
      <c r="Q59" s="8">
        <v>2200</v>
      </c>
    </row>
    <row r="60" spans="2:17" x14ac:dyDescent="0.25">
      <c r="B60" s="12" t="s">
        <v>1599</v>
      </c>
      <c r="C60" s="43" t="s">
        <v>1264</v>
      </c>
      <c r="D60" t="s">
        <v>34</v>
      </c>
      <c r="E60" t="s">
        <v>1257</v>
      </c>
      <c r="G60" t="s">
        <v>82</v>
      </c>
      <c r="K60" s="9"/>
      <c r="L60" s="9"/>
      <c r="M60" s="58">
        <v>600</v>
      </c>
      <c r="O60" s="64">
        <v>200</v>
      </c>
    </row>
    <row r="61" spans="2:17" x14ac:dyDescent="0.25">
      <c r="B61" s="12" t="s">
        <v>1600</v>
      </c>
      <c r="C61" s="43" t="s">
        <v>1563</v>
      </c>
      <c r="D61" t="s">
        <v>34</v>
      </c>
      <c r="E61" t="s">
        <v>1564</v>
      </c>
      <c r="G61" t="s">
        <v>82</v>
      </c>
      <c r="N61" s="63">
        <v>900</v>
      </c>
      <c r="O61" s="64"/>
    </row>
    <row r="62" spans="2:17" x14ac:dyDescent="0.25">
      <c r="B62" s="12" t="s">
        <v>90</v>
      </c>
      <c r="C62" s="43" t="s">
        <v>1565</v>
      </c>
      <c r="D62" t="s">
        <v>34</v>
      </c>
      <c r="E62" t="s">
        <v>1566</v>
      </c>
      <c r="G62" t="s">
        <v>82</v>
      </c>
      <c r="O62" s="8">
        <v>500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2"/>
  <sheetViews>
    <sheetView zoomScale="85" zoomScaleNormal="85" workbookViewId="0">
      <pane xSplit="10" ySplit="16" topLeftCell="K17" activePane="bottomRight" state="frozen"/>
      <selection pane="topRight" activeCell="K1" sqref="K1"/>
      <selection pane="bottomLeft" activeCell="A14" sqref="A14"/>
      <selection pane="bottomRight" activeCell="L27" sqref="L27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3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28</v>
      </c>
      <c r="K1" s="15" t="s">
        <v>36</v>
      </c>
      <c r="L1" s="15" t="s">
        <v>36</v>
      </c>
      <c r="M1" s="15" t="s">
        <v>37</v>
      </c>
      <c r="N1" s="15" t="s">
        <v>84</v>
      </c>
      <c r="O1" s="15" t="s">
        <v>594</v>
      </c>
      <c r="P1" s="15" t="s">
        <v>85</v>
      </c>
      <c r="Q1" s="15" t="s">
        <v>596</v>
      </c>
      <c r="R1" s="15" t="s">
        <v>931</v>
      </c>
      <c r="S1" s="15" t="s">
        <v>86</v>
      </c>
      <c r="T1" s="15" t="s">
        <v>595</v>
      </c>
      <c r="U1" s="15"/>
      <c r="V1" s="15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53</v>
      </c>
      <c r="K2" s="16" t="s">
        <v>54</v>
      </c>
      <c r="L2" s="16" t="s">
        <v>55</v>
      </c>
      <c r="M2" s="16" t="s">
        <v>1214</v>
      </c>
      <c r="N2" s="16" t="s">
        <v>56</v>
      </c>
      <c r="O2" s="16" t="s">
        <v>57</v>
      </c>
      <c r="P2" s="16" t="s">
        <v>58</v>
      </c>
      <c r="Q2" s="16" t="s">
        <v>59</v>
      </c>
      <c r="R2" s="16" t="s">
        <v>1215</v>
      </c>
      <c r="S2" s="16" t="s">
        <v>60</v>
      </c>
      <c r="T2" s="16" t="s">
        <v>61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6" t="s">
        <v>27</v>
      </c>
      <c r="L3" s="16" t="s">
        <v>27</v>
      </c>
      <c r="M3" s="16" t="s">
        <v>27</v>
      </c>
      <c r="N3" s="16" t="s">
        <v>27</v>
      </c>
      <c r="O3" s="16" t="s">
        <v>27</v>
      </c>
      <c r="P3" s="16" t="s">
        <v>27</v>
      </c>
      <c r="Q3" s="16" t="s">
        <v>27</v>
      </c>
      <c r="R3" s="16" t="s">
        <v>27</v>
      </c>
      <c r="S3" s="16" t="s">
        <v>27</v>
      </c>
      <c r="T3" s="16" t="s">
        <v>27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26</v>
      </c>
      <c r="K4" s="14">
        <v>1000</v>
      </c>
      <c r="L4" s="14">
        <v>1000</v>
      </c>
      <c r="M4" s="14">
        <v>1000</v>
      </c>
      <c r="N4" s="14">
        <v>1000</v>
      </c>
      <c r="O4" s="14">
        <v>1000</v>
      </c>
      <c r="P4" s="14">
        <v>1000</v>
      </c>
      <c r="Q4" s="14">
        <v>1000</v>
      </c>
      <c r="R4" s="14">
        <v>1000</v>
      </c>
      <c r="S4" s="14">
        <v>1000</v>
      </c>
      <c r="T4" s="14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29</v>
      </c>
      <c r="K5" s="14" t="s">
        <v>1</v>
      </c>
      <c r="L5" s="14" t="s">
        <v>1</v>
      </c>
      <c r="M5" s="14" t="s">
        <v>1</v>
      </c>
      <c r="N5" s="14" t="s">
        <v>1</v>
      </c>
      <c r="O5" s="14" t="s">
        <v>1</v>
      </c>
      <c r="P5" s="14" t="s">
        <v>1</v>
      </c>
      <c r="Q5" s="14" t="s">
        <v>1</v>
      </c>
      <c r="R5" s="14" t="s">
        <v>1</v>
      </c>
      <c r="S5" s="14" t="s">
        <v>1</v>
      </c>
      <c r="T5" s="14" t="s">
        <v>1</v>
      </c>
    </row>
    <row r="6" spans="1:22" s="53" customFormat="1" x14ac:dyDescent="0.25">
      <c r="A6" s="56"/>
      <c r="B6" s="56"/>
      <c r="C6" s="56"/>
      <c r="D6" s="56"/>
      <c r="E6" s="6"/>
      <c r="F6" s="6"/>
      <c r="G6" s="56"/>
      <c r="H6" s="6"/>
      <c r="I6" s="6"/>
      <c r="J6" s="50" t="s">
        <v>52</v>
      </c>
      <c r="K6" s="57">
        <v>1</v>
      </c>
      <c r="L6" s="57">
        <v>1</v>
      </c>
      <c r="M6" s="57">
        <v>1</v>
      </c>
      <c r="N6" s="57">
        <v>1</v>
      </c>
      <c r="O6" s="57">
        <v>1</v>
      </c>
      <c r="P6" s="57">
        <v>1</v>
      </c>
      <c r="Q6" s="57">
        <v>1</v>
      </c>
      <c r="R6" s="57">
        <v>1</v>
      </c>
      <c r="S6" s="57">
        <v>1</v>
      </c>
      <c r="T6" s="57">
        <v>1</v>
      </c>
    </row>
    <row r="7" spans="1:22" s="53" customFormat="1" x14ac:dyDescent="0.25">
      <c r="A7" s="56"/>
      <c r="B7" s="56"/>
      <c r="C7" s="56"/>
      <c r="D7" s="56"/>
      <c r="E7" s="6"/>
      <c r="F7" s="6"/>
      <c r="G7" s="56"/>
      <c r="H7" s="6"/>
      <c r="I7" s="6"/>
      <c r="J7" s="50" t="s">
        <v>3</v>
      </c>
      <c r="K7" s="57" t="s">
        <v>4</v>
      </c>
      <c r="L7" s="57">
        <v>2</v>
      </c>
      <c r="M7" s="57" t="s">
        <v>4</v>
      </c>
      <c r="N7" s="57" t="s">
        <v>4</v>
      </c>
      <c r="O7" s="57" t="s">
        <v>4</v>
      </c>
      <c r="P7" s="57" t="s">
        <v>4</v>
      </c>
      <c r="Q7" s="57" t="s">
        <v>4</v>
      </c>
      <c r="R7" s="57" t="s">
        <v>4</v>
      </c>
      <c r="S7" s="57" t="s">
        <v>4</v>
      </c>
      <c r="T7" s="57" t="s">
        <v>4</v>
      </c>
    </row>
    <row r="8" spans="1:22" s="53" customFormat="1" x14ac:dyDescent="0.25">
      <c r="A8" s="56"/>
      <c r="B8" s="56"/>
      <c r="C8" s="56"/>
      <c r="D8" s="56"/>
      <c r="E8" s="6"/>
      <c r="F8" s="6"/>
      <c r="G8" s="56"/>
      <c r="H8" s="6"/>
      <c r="I8" s="6"/>
      <c r="J8" s="50" t="s">
        <v>1201</v>
      </c>
      <c r="K8" s="57" t="s">
        <v>1526</v>
      </c>
      <c r="L8" s="57" t="s">
        <v>1527</v>
      </c>
      <c r="M8" s="57" t="s">
        <v>1528</v>
      </c>
      <c r="N8" s="57" t="s">
        <v>1529</v>
      </c>
      <c r="O8" s="57" t="s">
        <v>1530</v>
      </c>
      <c r="P8" s="57" t="s">
        <v>1531</v>
      </c>
      <c r="Q8" s="57" t="s">
        <v>1532</v>
      </c>
      <c r="R8" s="57" t="s">
        <v>1533</v>
      </c>
      <c r="S8" s="57" t="s">
        <v>1534</v>
      </c>
      <c r="T8" s="57" t="s">
        <v>1535</v>
      </c>
    </row>
    <row r="9" spans="1:22" s="53" customFormat="1" x14ac:dyDescent="0.25">
      <c r="A9" s="56"/>
      <c r="B9" s="56"/>
      <c r="C9" s="56"/>
      <c r="D9" s="56"/>
      <c r="E9" s="6"/>
      <c r="F9" s="6"/>
      <c r="G9" s="56"/>
      <c r="H9" s="6"/>
      <c r="I9" s="6"/>
      <c r="J9" s="50" t="s">
        <v>1202</v>
      </c>
      <c r="K9" s="57">
        <v>1</v>
      </c>
      <c r="L9" s="57">
        <v>1</v>
      </c>
      <c r="M9" s="57">
        <v>1</v>
      </c>
      <c r="N9" s="57">
        <v>1</v>
      </c>
      <c r="O9" s="57">
        <v>1</v>
      </c>
      <c r="P9" s="57">
        <v>1</v>
      </c>
      <c r="Q9" s="57">
        <v>1</v>
      </c>
      <c r="R9" s="57">
        <v>1</v>
      </c>
      <c r="S9" s="57">
        <v>1</v>
      </c>
      <c r="T9" s="57">
        <v>1</v>
      </c>
    </row>
    <row r="10" spans="1:22" s="53" customFormat="1" x14ac:dyDescent="0.25">
      <c r="A10" s="56"/>
      <c r="B10" s="56"/>
      <c r="C10" s="56"/>
      <c r="D10" s="56"/>
      <c r="E10" s="6"/>
      <c r="F10" s="6"/>
      <c r="G10" s="56"/>
      <c r="H10" s="6"/>
      <c r="I10" s="6"/>
      <c r="J10" s="50" t="s">
        <v>1203</v>
      </c>
      <c r="K10" s="57" t="s">
        <v>852</v>
      </c>
      <c r="L10" s="57" t="s">
        <v>1192</v>
      </c>
      <c r="M10" s="57" t="s">
        <v>851</v>
      </c>
      <c r="N10" s="57" t="s">
        <v>56</v>
      </c>
      <c r="O10" s="57" t="s">
        <v>57</v>
      </c>
      <c r="P10" s="57" t="s">
        <v>58</v>
      </c>
      <c r="Q10" s="57" t="s">
        <v>59</v>
      </c>
      <c r="R10" s="57" t="s">
        <v>1216</v>
      </c>
      <c r="S10" s="57" t="s">
        <v>1217</v>
      </c>
      <c r="T10" s="57" t="s">
        <v>1218</v>
      </c>
    </row>
    <row r="11" spans="1:22" s="53" customFormat="1" x14ac:dyDescent="0.25">
      <c r="A11" s="56"/>
      <c r="B11" s="56"/>
      <c r="C11" s="56"/>
      <c r="D11" s="56"/>
      <c r="E11" s="6"/>
      <c r="F11" s="6"/>
      <c r="G11" s="56"/>
      <c r="H11" s="6"/>
      <c r="I11" s="6"/>
      <c r="J11" s="3" t="s">
        <v>1546</v>
      </c>
      <c r="K11" s="57" t="s">
        <v>4</v>
      </c>
      <c r="L11" s="57" t="s">
        <v>4</v>
      </c>
      <c r="M11" s="57" t="s">
        <v>4</v>
      </c>
      <c r="N11" s="57" t="s">
        <v>4</v>
      </c>
      <c r="O11" s="57" t="s">
        <v>4</v>
      </c>
      <c r="P11" s="57" t="s">
        <v>4</v>
      </c>
      <c r="Q11" s="57" t="s">
        <v>4</v>
      </c>
      <c r="R11" s="57" t="s">
        <v>4</v>
      </c>
      <c r="S11" s="57" t="s">
        <v>4</v>
      </c>
      <c r="T11" s="57" t="s">
        <v>4</v>
      </c>
    </row>
    <row r="12" spans="1:22" s="53" customFormat="1" x14ac:dyDescent="0.25">
      <c r="A12" s="56"/>
      <c r="B12" s="56"/>
      <c r="C12" s="56"/>
      <c r="D12" s="56"/>
      <c r="E12" s="6"/>
      <c r="F12" s="6"/>
      <c r="G12" s="56"/>
      <c r="H12" s="6"/>
      <c r="I12" s="6"/>
      <c r="J12" s="3" t="s">
        <v>1547</v>
      </c>
      <c r="K12" s="57" t="s">
        <v>1548</v>
      </c>
      <c r="L12" s="57" t="s">
        <v>1548</v>
      </c>
      <c r="M12" s="57" t="s">
        <v>1548</v>
      </c>
      <c r="N12" s="57" t="s">
        <v>1548</v>
      </c>
      <c r="O12" s="57" t="s">
        <v>1548</v>
      </c>
      <c r="P12" s="57" t="s">
        <v>1548</v>
      </c>
      <c r="Q12" s="57" t="s">
        <v>1548</v>
      </c>
      <c r="R12" s="57" t="s">
        <v>1548</v>
      </c>
      <c r="S12" s="57" t="s">
        <v>1548</v>
      </c>
      <c r="T12" s="57" t="s">
        <v>1548</v>
      </c>
    </row>
    <row r="13" spans="1:22" s="53" customFormat="1" x14ac:dyDescent="0.25">
      <c r="A13" s="56"/>
      <c r="B13" s="56"/>
      <c r="C13" s="56"/>
      <c r="D13" s="56"/>
      <c r="E13" s="6"/>
      <c r="F13" s="6"/>
      <c r="G13" s="56"/>
      <c r="H13" s="6"/>
      <c r="I13" s="6"/>
      <c r="J13" s="50" t="s">
        <v>1204</v>
      </c>
      <c r="K13" s="57" t="s">
        <v>1219</v>
      </c>
      <c r="L13" s="57" t="s">
        <v>1220</v>
      </c>
      <c r="M13" s="57" t="s">
        <v>1221</v>
      </c>
      <c r="N13" s="57" t="s">
        <v>1222</v>
      </c>
      <c r="O13" s="57" t="s">
        <v>1223</v>
      </c>
      <c r="P13" s="57" t="s">
        <v>1224</v>
      </c>
      <c r="Q13" s="57" t="s">
        <v>1225</v>
      </c>
      <c r="R13" s="57" t="s">
        <v>1226</v>
      </c>
      <c r="S13" s="57" t="s">
        <v>1227</v>
      </c>
      <c r="T13" s="57" t="s">
        <v>1228</v>
      </c>
    </row>
    <row r="14" spans="1:22" x14ac:dyDescent="0.25">
      <c r="B14" s="2"/>
      <c r="C14" s="2"/>
      <c r="D14" s="2"/>
      <c r="E14" s="5"/>
      <c r="F14" s="6"/>
      <c r="G14" s="2"/>
      <c r="H14" s="5"/>
      <c r="I14" s="6"/>
      <c r="J14" s="3" t="s">
        <v>1555</v>
      </c>
      <c r="K14" s="15" t="s">
        <v>1536</v>
      </c>
      <c r="L14" s="15" t="s">
        <v>1536</v>
      </c>
      <c r="M14" s="15" t="s">
        <v>1537</v>
      </c>
      <c r="N14" s="15" t="s">
        <v>1538</v>
      </c>
      <c r="O14" s="15" t="s">
        <v>1539</v>
      </c>
      <c r="P14" s="15" t="s">
        <v>1540</v>
      </c>
      <c r="Q14" s="15" t="s">
        <v>1541</v>
      </c>
      <c r="R14" s="15" t="s">
        <v>1542</v>
      </c>
      <c r="S14" s="15" t="s">
        <v>1543</v>
      </c>
      <c r="T14" s="15" t="s">
        <v>1544</v>
      </c>
    </row>
    <row r="15" spans="1:22" x14ac:dyDescent="0.25">
      <c r="B15" s="2"/>
      <c r="C15" s="2"/>
      <c r="D15" s="2"/>
      <c r="E15" s="5"/>
      <c r="F15" s="6"/>
      <c r="G15" s="2"/>
      <c r="H15" s="5"/>
      <c r="I15" s="6"/>
      <c r="J15" s="3" t="s">
        <v>1556</v>
      </c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2" s="7" customFormat="1" x14ac:dyDescent="0.25">
      <c r="A16" s="2"/>
      <c r="B16" s="3" t="s">
        <v>1212</v>
      </c>
      <c r="C16" s="3" t="s">
        <v>1205</v>
      </c>
      <c r="D16" s="50" t="s">
        <v>1206</v>
      </c>
      <c r="E16" s="3" t="s">
        <v>1194</v>
      </c>
      <c r="F16" s="3" t="s">
        <v>1193</v>
      </c>
      <c r="G16" s="3" t="s">
        <v>32</v>
      </c>
      <c r="H16" s="3"/>
      <c r="I16" s="3" t="s">
        <v>33</v>
      </c>
      <c r="K16" s="48"/>
      <c r="L16" s="48"/>
    </row>
    <row r="17" spans="2:20" x14ac:dyDescent="0.25">
      <c r="B17" s="42">
        <v>1</v>
      </c>
      <c r="C17" s="47" t="s">
        <v>866</v>
      </c>
      <c r="D17" s="51" t="s">
        <v>1207</v>
      </c>
      <c r="E17" s="44" t="s">
        <v>1195</v>
      </c>
      <c r="F17" s="42" t="s">
        <v>25</v>
      </c>
      <c r="G17" s="44" t="s">
        <v>1185</v>
      </c>
      <c r="H17" s="42"/>
      <c r="K17" s="46">
        <v>10000</v>
      </c>
      <c r="L17" s="46">
        <v>50000</v>
      </c>
      <c r="M17" s="46">
        <v>10000</v>
      </c>
      <c r="N17" s="46">
        <v>530000</v>
      </c>
      <c r="O17" s="46">
        <v>500000</v>
      </c>
      <c r="P17" s="46">
        <v>550000</v>
      </c>
      <c r="Q17" s="46">
        <v>550000</v>
      </c>
      <c r="R17" s="46">
        <v>55000</v>
      </c>
      <c r="S17" s="46">
        <v>55000</v>
      </c>
      <c r="T17" s="46">
        <v>100000</v>
      </c>
    </row>
    <row r="18" spans="2:20" x14ac:dyDescent="0.25">
      <c r="B18" s="42">
        <v>2</v>
      </c>
      <c r="C18" s="47" t="s">
        <v>866</v>
      </c>
      <c r="D18" s="51" t="s">
        <v>1208</v>
      </c>
      <c r="E18" s="44" t="s">
        <v>1196</v>
      </c>
      <c r="F18" s="42" t="s">
        <v>1</v>
      </c>
      <c r="G18" s="44" t="s">
        <v>1186</v>
      </c>
      <c r="H18" s="42"/>
      <c r="K18" s="46">
        <v>0</v>
      </c>
      <c r="L18" s="46">
        <v>0</v>
      </c>
      <c r="M18" s="46">
        <v>780</v>
      </c>
      <c r="N18" s="46">
        <v>1500</v>
      </c>
      <c r="O18" s="46">
        <v>2200</v>
      </c>
      <c r="P18" s="46">
        <v>1820</v>
      </c>
      <c r="Q18" s="46">
        <v>1820</v>
      </c>
      <c r="R18" s="46">
        <v>0</v>
      </c>
      <c r="S18" s="46">
        <v>0</v>
      </c>
      <c r="T18" s="46">
        <v>0</v>
      </c>
    </row>
    <row r="19" spans="2:20" x14ac:dyDescent="0.25">
      <c r="B19" s="42">
        <v>3</v>
      </c>
      <c r="C19" s="47" t="s">
        <v>866</v>
      </c>
      <c r="D19" s="51" t="s">
        <v>1209</v>
      </c>
      <c r="E19" s="44" t="s">
        <v>1197</v>
      </c>
      <c r="F19" s="42" t="s">
        <v>1</v>
      </c>
      <c r="G19" s="44" t="s">
        <v>1187</v>
      </c>
      <c r="H19" s="42"/>
      <c r="K19" s="46">
        <v>750</v>
      </c>
      <c r="L19" s="46">
        <v>3300</v>
      </c>
      <c r="M19" s="46">
        <v>0</v>
      </c>
      <c r="N19" s="46">
        <v>1500</v>
      </c>
      <c r="O19" s="46">
        <v>0</v>
      </c>
      <c r="P19" s="46">
        <v>0</v>
      </c>
      <c r="Q19" s="46">
        <v>0</v>
      </c>
      <c r="R19" s="46">
        <v>1350</v>
      </c>
      <c r="S19" s="46">
        <v>1350</v>
      </c>
      <c r="T19" s="46">
        <v>1400</v>
      </c>
    </row>
    <row r="20" spans="2:20" x14ac:dyDescent="0.25">
      <c r="B20" s="42">
        <v>4</v>
      </c>
      <c r="C20" s="47" t="s">
        <v>866</v>
      </c>
      <c r="D20" s="51" t="s">
        <v>1213</v>
      </c>
      <c r="E20" s="44" t="s">
        <v>1198</v>
      </c>
      <c r="F20" s="42" t="s">
        <v>1550</v>
      </c>
      <c r="G20" s="44" t="s">
        <v>1188</v>
      </c>
      <c r="H20" s="42"/>
      <c r="K20" s="46">
        <v>400</v>
      </c>
      <c r="L20" s="46">
        <v>300</v>
      </c>
      <c r="M20" s="46">
        <v>400</v>
      </c>
      <c r="N20" s="46">
        <v>1800</v>
      </c>
      <c r="O20" s="46">
        <v>1800</v>
      </c>
      <c r="P20" s="46">
        <v>1730</v>
      </c>
      <c r="Q20" s="46">
        <v>1730</v>
      </c>
      <c r="R20" s="46">
        <v>0</v>
      </c>
      <c r="S20" s="46">
        <v>0</v>
      </c>
      <c r="T20" s="46">
        <v>0</v>
      </c>
    </row>
    <row r="21" spans="2:20" x14ac:dyDescent="0.25">
      <c r="B21" s="42">
        <v>5</v>
      </c>
      <c r="C21" s="47" t="s">
        <v>866</v>
      </c>
      <c r="D21" s="51" t="s">
        <v>1210</v>
      </c>
      <c r="E21" s="44" t="s">
        <v>1199</v>
      </c>
      <c r="F21" s="42" t="s">
        <v>1550</v>
      </c>
      <c r="G21" s="44" t="s">
        <v>1189</v>
      </c>
      <c r="H21" s="42"/>
      <c r="K21" s="46">
        <v>0</v>
      </c>
      <c r="L21" s="46">
        <v>0</v>
      </c>
      <c r="M21" s="46">
        <v>0</v>
      </c>
      <c r="N21" s="46">
        <v>14000</v>
      </c>
      <c r="O21" s="46">
        <v>13000</v>
      </c>
      <c r="P21" s="46">
        <v>10500</v>
      </c>
      <c r="Q21" s="46">
        <v>10500</v>
      </c>
      <c r="R21" s="46">
        <v>0</v>
      </c>
      <c r="S21" s="46">
        <v>0</v>
      </c>
      <c r="T21" s="46">
        <v>0</v>
      </c>
    </row>
    <row r="22" spans="2:20" x14ac:dyDescent="0.25">
      <c r="B22" s="42">
        <v>6</v>
      </c>
      <c r="C22" s="47" t="s">
        <v>866</v>
      </c>
      <c r="D22" s="51" t="s">
        <v>1211</v>
      </c>
      <c r="E22" s="44" t="s">
        <v>1200</v>
      </c>
      <c r="F22" s="42" t="s">
        <v>1549</v>
      </c>
      <c r="G22" s="44" t="s">
        <v>1190</v>
      </c>
      <c r="H22" s="42"/>
      <c r="K22" s="46">
        <v>0</v>
      </c>
      <c r="L22" s="46">
        <v>0</v>
      </c>
      <c r="M22" s="46">
        <v>0</v>
      </c>
      <c r="N22" s="46">
        <v>15000</v>
      </c>
      <c r="O22" s="46">
        <v>12000</v>
      </c>
      <c r="P22" s="46">
        <v>9000</v>
      </c>
      <c r="Q22" s="46">
        <v>9000</v>
      </c>
      <c r="R22" s="46">
        <v>0</v>
      </c>
      <c r="S22" s="46">
        <v>0</v>
      </c>
      <c r="T22" s="46">
        <v>0</v>
      </c>
    </row>
    <row r="23" spans="2:20" x14ac:dyDescent="0.25">
      <c r="B23" s="42"/>
      <c r="C23" s="42"/>
      <c r="D23" s="52"/>
      <c r="E23" s="42"/>
      <c r="F23" s="42"/>
      <c r="G23" s="42"/>
      <c r="H23" s="11"/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  <row r="30" spans="2:20" x14ac:dyDescent="0.25">
      <c r="M30"/>
      <c r="N30"/>
      <c r="O30"/>
      <c r="P30"/>
      <c r="Q30"/>
      <c r="R30"/>
      <c r="S30"/>
      <c r="T30"/>
    </row>
    <row r="31" spans="2:20" x14ac:dyDescent="0.25">
      <c r="M31"/>
      <c r="N31"/>
      <c r="O31"/>
      <c r="P31"/>
      <c r="Q31"/>
      <c r="R31"/>
      <c r="S31"/>
      <c r="T31"/>
    </row>
    <row r="32" spans="2:20" x14ac:dyDescent="0.25">
      <c r="M32"/>
      <c r="N32"/>
      <c r="O32"/>
      <c r="P32"/>
      <c r="Q32"/>
      <c r="R32"/>
      <c r="S32"/>
      <c r="T3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K59"/>
  <sheetViews>
    <sheetView zoomScale="85" zoomScaleNormal="85" workbookViewId="0">
      <pane xSplit="10" ySplit="10" topLeftCell="K11" activePane="bottomRight" state="frozen"/>
      <selection pane="topRight" activeCell="K1" sqref="K1"/>
      <selection pane="bottomLeft" activeCell="A9" sqref="A9"/>
      <selection pane="bottomRight" activeCell="K2" sqref="K2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</cols>
  <sheetData>
    <row r="1" spans="1:11" x14ac:dyDescent="0.25">
      <c r="C1" s="2"/>
      <c r="D1" s="2"/>
      <c r="E1" s="5"/>
      <c r="F1" s="5"/>
      <c r="G1" s="5"/>
      <c r="H1" s="5"/>
      <c r="I1" s="5"/>
      <c r="J1" s="3" t="s">
        <v>28</v>
      </c>
      <c r="K1" s="65" t="s">
        <v>1610</v>
      </c>
    </row>
    <row r="2" spans="1:11" x14ac:dyDescent="0.25">
      <c r="C2" s="5"/>
      <c r="D2" s="5"/>
      <c r="E2" s="5"/>
      <c r="F2" s="5"/>
      <c r="G2" s="5"/>
      <c r="H2" s="5"/>
      <c r="I2" s="5"/>
      <c r="J2" s="3" t="s">
        <v>53</v>
      </c>
      <c r="K2" s="15" t="s">
        <v>1611</v>
      </c>
    </row>
    <row r="3" spans="1:11" x14ac:dyDescent="0.25">
      <c r="C3" s="5"/>
      <c r="D3" s="5"/>
      <c r="E3" s="5"/>
      <c r="F3" s="5"/>
      <c r="G3" s="5"/>
      <c r="H3" s="5"/>
      <c r="I3" s="5"/>
      <c r="J3" s="3" t="s">
        <v>2</v>
      </c>
      <c r="K3" s="15" t="s">
        <v>27</v>
      </c>
    </row>
    <row r="4" spans="1:11" x14ac:dyDescent="0.25">
      <c r="C4" s="5"/>
      <c r="D4" s="5"/>
      <c r="E4" s="5"/>
      <c r="F4" s="5"/>
      <c r="G4" s="5"/>
      <c r="H4" s="5"/>
      <c r="I4" s="5"/>
      <c r="J4" s="3" t="s">
        <v>26</v>
      </c>
      <c r="K4" s="15">
        <v>1000000</v>
      </c>
    </row>
    <row r="5" spans="1:11" x14ac:dyDescent="0.25">
      <c r="C5" s="2"/>
      <c r="D5" s="2"/>
      <c r="E5" s="5"/>
      <c r="F5" s="5"/>
      <c r="G5" s="5"/>
      <c r="H5" s="5"/>
      <c r="I5" s="5"/>
      <c r="J5" s="19" t="s">
        <v>29</v>
      </c>
      <c r="K5" s="14" t="s">
        <v>83</v>
      </c>
    </row>
    <row r="6" spans="1:11" x14ac:dyDescent="0.25">
      <c r="C6" s="2"/>
      <c r="D6" s="2"/>
      <c r="E6" s="5"/>
      <c r="F6" s="5"/>
      <c r="G6" s="5"/>
      <c r="H6" s="5"/>
      <c r="I6" s="5"/>
      <c r="J6" s="3" t="s">
        <v>52</v>
      </c>
      <c r="K6" s="16" t="s">
        <v>4</v>
      </c>
    </row>
    <row r="7" spans="1:11" x14ac:dyDescent="0.25">
      <c r="C7" s="2"/>
      <c r="D7" s="2"/>
      <c r="E7" s="5"/>
      <c r="F7" s="6"/>
      <c r="G7" s="6"/>
      <c r="H7" s="6"/>
      <c r="I7" s="6"/>
      <c r="J7" s="3" t="s">
        <v>3</v>
      </c>
      <c r="K7" s="16" t="s">
        <v>4</v>
      </c>
    </row>
    <row r="8" spans="1:11" x14ac:dyDescent="0.25">
      <c r="C8" s="2"/>
      <c r="D8" s="2"/>
      <c r="E8" s="5"/>
      <c r="F8" s="6"/>
      <c r="G8" s="6"/>
      <c r="H8" s="6"/>
      <c r="I8" s="6"/>
      <c r="J8" s="3" t="s">
        <v>1201</v>
      </c>
      <c r="K8" s="15" t="s">
        <v>1562</v>
      </c>
    </row>
    <row r="9" spans="1:11" x14ac:dyDescent="0.25">
      <c r="C9" s="2"/>
      <c r="D9" s="2"/>
      <c r="E9" s="5"/>
      <c r="F9" s="6"/>
      <c r="G9" s="6"/>
      <c r="H9" s="6"/>
      <c r="I9" s="6"/>
      <c r="J9" s="50" t="s">
        <v>1557</v>
      </c>
      <c r="K9" s="15" t="s">
        <v>1560</v>
      </c>
    </row>
    <row r="10" spans="1:11" x14ac:dyDescent="0.25">
      <c r="A10" s="5"/>
      <c r="B10" s="4" t="s">
        <v>48</v>
      </c>
      <c r="C10" s="4" t="s">
        <v>30</v>
      </c>
      <c r="D10" s="13" t="s">
        <v>31</v>
      </c>
      <c r="E10" s="13" t="s">
        <v>32</v>
      </c>
      <c r="F10" s="4" t="s">
        <v>49</v>
      </c>
      <c r="G10" s="4" t="s">
        <v>50</v>
      </c>
      <c r="H10" s="4" t="s">
        <v>51</v>
      </c>
      <c r="I10" s="4" t="s">
        <v>33</v>
      </c>
      <c r="J10" s="3"/>
      <c r="K10" s="10"/>
    </row>
    <row r="11" spans="1:11" ht="16.5" customHeight="1" x14ac:dyDescent="0.25">
      <c r="A11" s="5"/>
      <c r="B11" s="20" t="s">
        <v>45</v>
      </c>
      <c r="C11" s="18" t="s">
        <v>84</v>
      </c>
      <c r="D11" t="s">
        <v>1</v>
      </c>
      <c r="E11" t="s">
        <v>56</v>
      </c>
      <c r="F11" s="1"/>
      <c r="G11" s="1" t="s">
        <v>82</v>
      </c>
      <c r="H11" s="1"/>
      <c r="I11" s="1"/>
      <c r="K11" s="15">
        <v>0</v>
      </c>
    </row>
    <row r="12" spans="1:11" ht="16.5" customHeight="1" x14ac:dyDescent="0.25">
      <c r="A12" s="5"/>
      <c r="B12" s="20" t="s">
        <v>936</v>
      </c>
      <c r="C12" s="18" t="s">
        <v>594</v>
      </c>
      <c r="D12" t="s">
        <v>1</v>
      </c>
      <c r="E12" t="s">
        <v>57</v>
      </c>
      <c r="F12" s="1"/>
      <c r="G12" s="1" t="s">
        <v>82</v>
      </c>
      <c r="H12" s="1"/>
      <c r="I12" s="1"/>
      <c r="K12" s="15">
        <v>0</v>
      </c>
    </row>
    <row r="13" spans="1:11" ht="16.5" customHeight="1" x14ac:dyDescent="0.25">
      <c r="A13" s="5"/>
      <c r="B13" s="20" t="s">
        <v>937</v>
      </c>
      <c r="C13" s="18" t="s">
        <v>931</v>
      </c>
      <c r="D13" t="s">
        <v>1</v>
      </c>
      <c r="E13" t="s">
        <v>843</v>
      </c>
      <c r="F13" s="1"/>
      <c r="G13" s="1" t="s">
        <v>82</v>
      </c>
      <c r="H13" s="1"/>
      <c r="I13" s="1"/>
      <c r="K13" s="15">
        <v>0</v>
      </c>
    </row>
    <row r="14" spans="1:11" ht="16.5" customHeight="1" x14ac:dyDescent="0.25">
      <c r="A14" s="5"/>
      <c r="B14" s="20" t="s">
        <v>938</v>
      </c>
      <c r="C14" s="18" t="s">
        <v>932</v>
      </c>
      <c r="D14" t="s">
        <v>1</v>
      </c>
      <c r="E14" t="s">
        <v>847</v>
      </c>
      <c r="F14" s="1"/>
      <c r="G14" s="1" t="s">
        <v>82</v>
      </c>
      <c r="H14" s="1"/>
      <c r="I14" s="1"/>
      <c r="K14" s="15">
        <v>0</v>
      </c>
    </row>
    <row r="15" spans="1:11" ht="16.5" customHeight="1" x14ac:dyDescent="0.25">
      <c r="A15" s="5"/>
      <c r="B15" s="20" t="s">
        <v>939</v>
      </c>
      <c r="C15" s="18" t="s">
        <v>86</v>
      </c>
      <c r="D15" t="s">
        <v>1</v>
      </c>
      <c r="E15" t="s">
        <v>60</v>
      </c>
      <c r="F15" s="1"/>
      <c r="G15" s="1" t="s">
        <v>82</v>
      </c>
      <c r="H15" s="1"/>
      <c r="I15" s="1"/>
      <c r="K15" s="15">
        <v>0</v>
      </c>
    </row>
    <row r="16" spans="1:11" ht="16.5" customHeight="1" x14ac:dyDescent="0.25">
      <c r="A16" s="5"/>
      <c r="B16" s="20" t="s">
        <v>940</v>
      </c>
      <c r="C16" s="18" t="s">
        <v>595</v>
      </c>
      <c r="D16" t="s">
        <v>1</v>
      </c>
      <c r="E16" t="s">
        <v>61</v>
      </c>
      <c r="F16" s="1"/>
      <c r="G16" s="1" t="s">
        <v>82</v>
      </c>
      <c r="H16" s="1"/>
      <c r="I16" s="1"/>
      <c r="K16" s="15">
        <v>1000</v>
      </c>
    </row>
    <row r="17" spans="1:11" ht="16.5" customHeight="1" x14ac:dyDescent="0.25">
      <c r="A17" s="5"/>
      <c r="B17" s="20" t="s">
        <v>941</v>
      </c>
      <c r="C17" s="26" t="s">
        <v>85</v>
      </c>
      <c r="D17" t="s">
        <v>1</v>
      </c>
      <c r="E17" t="s">
        <v>58</v>
      </c>
      <c r="F17" s="1"/>
      <c r="G17" s="1" t="s">
        <v>82</v>
      </c>
      <c r="H17" s="1"/>
      <c r="I17" s="1"/>
      <c r="K17" s="15">
        <v>0</v>
      </c>
    </row>
    <row r="18" spans="1:11" ht="16.5" customHeight="1" x14ac:dyDescent="0.25">
      <c r="A18" s="5"/>
      <c r="B18" s="20" t="s">
        <v>942</v>
      </c>
      <c r="C18" s="18" t="s">
        <v>596</v>
      </c>
      <c r="D18" t="s">
        <v>1</v>
      </c>
      <c r="E18" t="s">
        <v>59</v>
      </c>
      <c r="F18" s="1"/>
      <c r="G18" s="1" t="s">
        <v>82</v>
      </c>
      <c r="H18" s="1"/>
      <c r="I18" s="1"/>
      <c r="K18" s="15">
        <v>0</v>
      </c>
    </row>
    <row r="19" spans="1:11" ht="16.5" customHeight="1" x14ac:dyDescent="0.25">
      <c r="A19" s="5"/>
      <c r="B19" s="22" t="s">
        <v>71</v>
      </c>
      <c r="C19" s="43" t="s">
        <v>1238</v>
      </c>
      <c r="D19" s="1" t="s">
        <v>83</v>
      </c>
      <c r="E19" s="1" t="s">
        <v>597</v>
      </c>
      <c r="F19" s="1"/>
      <c r="G19" s="1" t="s">
        <v>82</v>
      </c>
      <c r="H19" s="1"/>
      <c r="I19" s="1"/>
      <c r="K19" s="41">
        <v>0</v>
      </c>
    </row>
    <row r="20" spans="1:11" ht="16.5" customHeight="1" x14ac:dyDescent="0.25">
      <c r="A20" s="5"/>
      <c r="B20" s="22" t="s">
        <v>943</v>
      </c>
      <c r="C20" s="43" t="s">
        <v>1248</v>
      </c>
      <c r="D20" s="1" t="s">
        <v>83</v>
      </c>
      <c r="E20" s="1" t="s">
        <v>87</v>
      </c>
      <c r="F20" s="1"/>
      <c r="G20" s="1" t="s">
        <v>82</v>
      </c>
      <c r="H20" s="1"/>
      <c r="I20" s="1"/>
      <c r="K20" s="41">
        <v>25</v>
      </c>
    </row>
    <row r="21" spans="1:11" ht="16.5" customHeight="1" x14ac:dyDescent="0.25">
      <c r="A21" s="5"/>
      <c r="B21" s="22" t="s">
        <v>944</v>
      </c>
      <c r="C21" s="43" t="s">
        <v>1235</v>
      </c>
      <c r="D21" s="1" t="s">
        <v>83</v>
      </c>
      <c r="E21" s="1" t="s">
        <v>598</v>
      </c>
      <c r="F21" s="1"/>
      <c r="G21" s="1" t="s">
        <v>82</v>
      </c>
      <c r="H21" s="1"/>
      <c r="I21" s="1"/>
      <c r="K21" s="41">
        <v>0</v>
      </c>
    </row>
    <row r="22" spans="1:11" ht="16.5" customHeight="1" x14ac:dyDescent="0.25">
      <c r="A22" s="5"/>
      <c r="B22" s="24" t="s">
        <v>88</v>
      </c>
      <c r="C22" s="1" t="s">
        <v>1267</v>
      </c>
      <c r="D22" s="1" t="s">
        <v>89</v>
      </c>
      <c r="E22" s="1" t="s">
        <v>599</v>
      </c>
      <c r="F22" s="1"/>
      <c r="G22" s="1" t="s">
        <v>82</v>
      </c>
      <c r="H22" s="1"/>
      <c r="I22" s="1"/>
      <c r="K22" s="15">
        <v>0</v>
      </c>
    </row>
    <row r="23" spans="1:11" ht="16.5" customHeight="1" x14ac:dyDescent="0.25">
      <c r="A23" s="5"/>
      <c r="B23" s="24" t="s">
        <v>90</v>
      </c>
      <c r="C23" s="23" t="s">
        <v>1268</v>
      </c>
      <c r="D23" s="1" t="s">
        <v>89</v>
      </c>
      <c r="E23" s="1" t="s">
        <v>600</v>
      </c>
      <c r="F23" s="1"/>
      <c r="G23" s="17" t="s">
        <v>82</v>
      </c>
      <c r="H23" s="1"/>
      <c r="I23" s="17"/>
      <c r="K23" s="15">
        <v>0</v>
      </c>
    </row>
    <row r="24" spans="1:11" x14ac:dyDescent="0.25">
      <c r="B24" s="24" t="s">
        <v>945</v>
      </c>
      <c r="C24" s="1" t="s">
        <v>1269</v>
      </c>
      <c r="D24" s="17" t="s">
        <v>1551</v>
      </c>
      <c r="E24" s="1" t="s">
        <v>91</v>
      </c>
      <c r="K24" s="15">
        <v>0</v>
      </c>
    </row>
    <row r="25" spans="1:11" x14ac:dyDescent="0.25">
      <c r="B25" s="24" t="s">
        <v>1259</v>
      </c>
      <c r="C25" t="s">
        <v>36</v>
      </c>
      <c r="D25" s="17" t="s">
        <v>1</v>
      </c>
      <c r="G25" t="s">
        <v>82</v>
      </c>
      <c r="J25"/>
    </row>
    <row r="26" spans="1:11" x14ac:dyDescent="0.25">
      <c r="B26" s="24" t="s">
        <v>1520</v>
      </c>
      <c r="C26" t="s">
        <v>37</v>
      </c>
      <c r="D26" s="17" t="s">
        <v>1</v>
      </c>
      <c r="G26" t="s">
        <v>82</v>
      </c>
      <c r="J26"/>
    </row>
    <row r="27" spans="1:11" x14ac:dyDescent="0.25">
      <c r="B27"/>
      <c r="J27"/>
    </row>
    <row r="28" spans="1:11" x14ac:dyDescent="0.25">
      <c r="B28"/>
      <c r="J28"/>
    </row>
    <row r="29" spans="1:11" x14ac:dyDescent="0.25">
      <c r="B29"/>
      <c r="J29"/>
    </row>
    <row r="30" spans="1:11" x14ac:dyDescent="0.25">
      <c r="B30"/>
      <c r="J30"/>
    </row>
    <row r="31" spans="1:11" x14ac:dyDescent="0.25">
      <c r="B31"/>
      <c r="J31"/>
    </row>
    <row r="32" spans="1:11" x14ac:dyDescent="0.25">
      <c r="B32"/>
      <c r="J32"/>
    </row>
    <row r="33" spans="2:10" x14ac:dyDescent="0.25">
      <c r="B33"/>
      <c r="J33"/>
    </row>
    <row r="34" spans="2:10" x14ac:dyDescent="0.25">
      <c r="B34"/>
      <c r="J34"/>
    </row>
    <row r="35" spans="2:10" x14ac:dyDescent="0.25">
      <c r="B35"/>
      <c r="J35"/>
    </row>
    <row r="36" spans="2:10" x14ac:dyDescent="0.25">
      <c r="B36"/>
      <c r="J36"/>
    </row>
    <row r="37" spans="2:10" x14ac:dyDescent="0.25">
      <c r="B37"/>
      <c r="J37"/>
    </row>
    <row r="38" spans="2:10" x14ac:dyDescent="0.25">
      <c r="B38"/>
      <c r="J38"/>
    </row>
    <row r="39" spans="2:10" x14ac:dyDescent="0.25">
      <c r="B39"/>
      <c r="J39"/>
    </row>
    <row r="40" spans="2:10" x14ac:dyDescent="0.25">
      <c r="B40"/>
      <c r="J40"/>
    </row>
    <row r="41" spans="2:10" x14ac:dyDescent="0.25">
      <c r="B41"/>
      <c r="J41"/>
    </row>
    <row r="42" spans="2:10" x14ac:dyDescent="0.25">
      <c r="B42"/>
      <c r="J42"/>
    </row>
    <row r="43" spans="2:10" x14ac:dyDescent="0.25">
      <c r="B43"/>
      <c r="J43"/>
    </row>
    <row r="44" spans="2:10" x14ac:dyDescent="0.25">
      <c r="B44"/>
      <c r="J44"/>
    </row>
    <row r="45" spans="2:10" x14ac:dyDescent="0.25">
      <c r="B45"/>
      <c r="J45"/>
    </row>
    <row r="46" spans="2:10" x14ac:dyDescent="0.25">
      <c r="B46"/>
      <c r="J46"/>
    </row>
    <row r="47" spans="2:10" x14ac:dyDescent="0.25">
      <c r="B47"/>
      <c r="J47"/>
    </row>
    <row r="48" spans="2:10" x14ac:dyDescent="0.25">
      <c r="B48"/>
      <c r="J48"/>
    </row>
    <row r="49" spans="2:10" x14ac:dyDescent="0.25">
      <c r="B49"/>
      <c r="J49"/>
    </row>
    <row r="50" spans="2:10" x14ac:dyDescent="0.25">
      <c r="B50"/>
      <c r="J50"/>
    </row>
    <row r="51" spans="2:10" x14ac:dyDescent="0.25">
      <c r="B51"/>
      <c r="J51"/>
    </row>
    <row r="52" spans="2:10" x14ac:dyDescent="0.25">
      <c r="B52"/>
      <c r="J52"/>
    </row>
    <row r="53" spans="2:10" x14ac:dyDescent="0.25">
      <c r="B53"/>
      <c r="J53"/>
    </row>
    <row r="54" spans="2:10" x14ac:dyDescent="0.25">
      <c r="B54"/>
      <c r="J54"/>
    </row>
    <row r="55" spans="2:10" x14ac:dyDescent="0.25">
      <c r="B55"/>
      <c r="J55"/>
    </row>
    <row r="56" spans="2:10" x14ac:dyDescent="0.25">
      <c r="B56"/>
      <c r="J56"/>
    </row>
    <row r="57" spans="2:10" x14ac:dyDescent="0.25">
      <c r="B57"/>
      <c r="J57"/>
    </row>
    <row r="58" spans="2:10" x14ac:dyDescent="0.25">
      <c r="B58"/>
      <c r="J58"/>
    </row>
    <row r="59" spans="2:10" x14ac:dyDescent="0.25">
      <c r="B59"/>
      <c r="J5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K50"/>
  <sheetViews>
    <sheetView tabSelected="1" zoomScale="85" zoomScaleNormal="85" workbookViewId="0">
      <pane xSplit="10" ySplit="16" topLeftCell="K17" activePane="bottomRight" state="frozen"/>
      <selection pane="topRight" activeCell="K1" sqref="K1"/>
      <selection pane="bottomLeft" activeCell="A14" sqref="A14"/>
      <selection pane="bottomRight" activeCell="K2" sqref="K2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</cols>
  <sheetData>
    <row r="1" spans="1:11" x14ac:dyDescent="0.25">
      <c r="C1" s="2"/>
      <c r="D1" s="2"/>
      <c r="E1" s="5"/>
      <c r="F1" s="5"/>
      <c r="G1" s="5"/>
      <c r="H1" s="5"/>
      <c r="I1" s="5"/>
      <c r="J1" s="3" t="s">
        <v>28</v>
      </c>
      <c r="K1" s="15" t="s">
        <v>1610</v>
      </c>
    </row>
    <row r="2" spans="1:11" x14ac:dyDescent="0.25">
      <c r="C2" s="5"/>
      <c r="D2" s="5"/>
      <c r="E2" s="5"/>
      <c r="F2" s="5"/>
      <c r="G2" s="5"/>
      <c r="H2" s="5"/>
      <c r="I2" s="5"/>
      <c r="J2" s="3" t="s">
        <v>53</v>
      </c>
      <c r="K2" s="15" t="s">
        <v>1611</v>
      </c>
    </row>
    <row r="3" spans="1:11" x14ac:dyDescent="0.25">
      <c r="C3" s="5"/>
      <c r="D3" s="5"/>
      <c r="E3" s="5"/>
      <c r="F3" s="5"/>
      <c r="G3" s="5"/>
      <c r="H3" s="5"/>
      <c r="I3" s="5"/>
      <c r="J3" s="3" t="s">
        <v>2</v>
      </c>
      <c r="K3" s="15" t="s">
        <v>27</v>
      </c>
    </row>
    <row r="4" spans="1:11" x14ac:dyDescent="0.25">
      <c r="C4" s="5"/>
      <c r="D4" s="5"/>
      <c r="E4" s="5"/>
      <c r="F4" s="5"/>
      <c r="G4" s="5"/>
      <c r="H4" s="5"/>
      <c r="I4" s="5"/>
      <c r="J4" s="3" t="s">
        <v>26</v>
      </c>
      <c r="K4" s="15">
        <v>1000000</v>
      </c>
    </row>
    <row r="5" spans="1:11" x14ac:dyDescent="0.25">
      <c r="C5" s="2"/>
      <c r="D5" s="2"/>
      <c r="E5" s="5"/>
      <c r="F5" s="5"/>
      <c r="G5" s="5"/>
      <c r="H5" s="5"/>
      <c r="I5" s="5"/>
      <c r="J5" s="19" t="s">
        <v>29</v>
      </c>
      <c r="K5" s="14" t="s">
        <v>83</v>
      </c>
    </row>
    <row r="6" spans="1:11" x14ac:dyDescent="0.25">
      <c r="C6" s="2"/>
      <c r="D6" s="2"/>
      <c r="E6" s="5"/>
      <c r="F6" s="5"/>
      <c r="G6" s="5"/>
      <c r="H6" s="5"/>
      <c r="I6" s="5"/>
      <c r="J6" s="3" t="s">
        <v>52</v>
      </c>
      <c r="K6" s="16" t="s">
        <v>4</v>
      </c>
    </row>
    <row r="7" spans="1:11" x14ac:dyDescent="0.25">
      <c r="C7" s="2"/>
      <c r="D7" s="2"/>
      <c r="E7" s="5"/>
      <c r="F7" s="6"/>
      <c r="G7" s="6"/>
      <c r="H7" s="6"/>
      <c r="I7" s="6"/>
      <c r="J7" s="3" t="s">
        <v>3</v>
      </c>
      <c r="K7" s="16" t="s">
        <v>4</v>
      </c>
    </row>
    <row r="8" spans="1:11" x14ac:dyDescent="0.25">
      <c r="C8" s="2"/>
      <c r="D8" s="2"/>
      <c r="E8" s="5"/>
      <c r="F8" s="6"/>
      <c r="G8" s="6"/>
      <c r="H8" s="6"/>
      <c r="I8" s="6"/>
      <c r="J8" s="3" t="s">
        <v>1201</v>
      </c>
      <c r="K8" s="15" t="s">
        <v>1562</v>
      </c>
    </row>
    <row r="9" spans="1:11" x14ac:dyDescent="0.25">
      <c r="C9" s="2"/>
      <c r="D9" s="2"/>
      <c r="E9" s="5"/>
      <c r="F9" s="6"/>
      <c r="G9" s="6"/>
      <c r="H9" s="6"/>
      <c r="I9" s="6"/>
      <c r="J9" s="3" t="s">
        <v>1202</v>
      </c>
      <c r="K9" s="16" t="s">
        <v>4</v>
      </c>
    </row>
    <row r="10" spans="1:11" x14ac:dyDescent="0.25">
      <c r="C10" s="2"/>
      <c r="D10" s="2"/>
      <c r="E10" s="5"/>
      <c r="F10" s="6"/>
      <c r="G10" s="6"/>
      <c r="H10" s="6"/>
      <c r="I10" s="6"/>
      <c r="J10" s="3" t="s">
        <v>1203</v>
      </c>
      <c r="K10" s="55" t="s">
        <v>1274</v>
      </c>
    </row>
    <row r="11" spans="1:11" s="53" customFormat="1" x14ac:dyDescent="0.25">
      <c r="A11" s="56"/>
      <c r="B11" s="56"/>
      <c r="C11" s="56"/>
      <c r="D11" s="56"/>
      <c r="E11" s="6"/>
      <c r="F11" s="6"/>
      <c r="G11" s="56"/>
      <c r="H11" s="6"/>
      <c r="I11" s="6"/>
      <c r="J11" s="3" t="s">
        <v>1546</v>
      </c>
      <c r="K11" s="57" t="s">
        <v>4</v>
      </c>
    </row>
    <row r="12" spans="1:11" s="53" customFormat="1" x14ac:dyDescent="0.25">
      <c r="A12" s="56"/>
      <c r="B12" s="56"/>
      <c r="C12" s="56"/>
      <c r="D12" s="56"/>
      <c r="E12" s="6"/>
      <c r="F12" s="6"/>
      <c r="G12" s="56"/>
      <c r="H12" s="6"/>
      <c r="I12" s="6"/>
      <c r="J12" s="3" t="s">
        <v>1547</v>
      </c>
      <c r="K12" s="57" t="s">
        <v>1548</v>
      </c>
    </row>
    <row r="13" spans="1:11" x14ac:dyDescent="0.25">
      <c r="C13" s="2"/>
      <c r="D13" s="2"/>
      <c r="E13" s="5"/>
      <c r="F13" s="6"/>
      <c r="G13" s="6"/>
      <c r="H13" s="6"/>
      <c r="I13" s="6"/>
      <c r="J13" s="3" t="s">
        <v>1204</v>
      </c>
      <c r="K13" s="16"/>
    </row>
    <row r="14" spans="1:11" x14ac:dyDescent="0.25">
      <c r="C14" s="2"/>
      <c r="D14" s="2"/>
      <c r="E14" s="5"/>
      <c r="F14" s="6"/>
      <c r="G14" s="6"/>
      <c r="H14" s="6"/>
      <c r="I14" s="6"/>
      <c r="J14" s="3" t="s">
        <v>1555</v>
      </c>
      <c r="K14" s="16" t="s">
        <v>1561</v>
      </c>
    </row>
    <row r="15" spans="1:11" x14ac:dyDescent="0.25">
      <c r="C15" s="2"/>
      <c r="D15" s="2"/>
      <c r="E15" s="5"/>
      <c r="F15" s="6"/>
      <c r="G15" s="6"/>
      <c r="H15" s="6"/>
      <c r="I15" s="6"/>
      <c r="J15" s="3" t="s">
        <v>1556</v>
      </c>
      <c r="K15" s="16" t="s">
        <v>1545</v>
      </c>
    </row>
    <row r="16" spans="1:11" x14ac:dyDescent="0.25">
      <c r="B16" s="3" t="s">
        <v>1212</v>
      </c>
      <c r="C16" s="3" t="s">
        <v>1205</v>
      </c>
      <c r="D16" s="3" t="s">
        <v>1206</v>
      </c>
      <c r="E16" s="3" t="s">
        <v>1194</v>
      </c>
      <c r="F16" s="3" t="s">
        <v>1193</v>
      </c>
      <c r="G16" s="3" t="s">
        <v>32</v>
      </c>
      <c r="H16" s="3"/>
      <c r="I16" s="3" t="s">
        <v>33</v>
      </c>
      <c r="J16"/>
    </row>
    <row r="17" spans="1:10" s="1" customFormat="1" x14ac:dyDescent="0.25">
      <c r="A17" s="2"/>
      <c r="B17" s="49"/>
      <c r="C17" s="24"/>
      <c r="F17" s="49"/>
      <c r="H17" s="49"/>
    </row>
    <row r="18" spans="1:10" s="1" customFormat="1" x14ac:dyDescent="0.25">
      <c r="A18" s="2"/>
      <c r="B18" s="49"/>
      <c r="C18" s="24"/>
      <c r="F18" s="49"/>
      <c r="H18" s="49"/>
    </row>
    <row r="19" spans="1:10" s="1" customFormat="1" x14ac:dyDescent="0.25">
      <c r="A19" s="2"/>
      <c r="B19" s="49"/>
      <c r="C19" s="24"/>
      <c r="F19" s="49"/>
      <c r="H19" s="49"/>
    </row>
    <row r="20" spans="1:10" s="1" customFormat="1" x14ac:dyDescent="0.25">
      <c r="A20" s="2"/>
      <c r="B20" s="49"/>
      <c r="C20" s="24"/>
      <c r="F20" s="49"/>
      <c r="H20" s="49"/>
    </row>
    <row r="21" spans="1:10" s="1" customFormat="1" x14ac:dyDescent="0.25">
      <c r="A21" s="2"/>
      <c r="B21" s="49"/>
      <c r="C21" s="24"/>
      <c r="F21" s="49"/>
      <c r="H21" s="49"/>
    </row>
    <row r="22" spans="1:10" s="1" customFormat="1" x14ac:dyDescent="0.25">
      <c r="A22" s="2"/>
      <c r="B22" s="49"/>
      <c r="C22" s="24"/>
      <c r="F22" s="49"/>
      <c r="H22" s="49"/>
    </row>
    <row r="23" spans="1:10" s="1" customFormat="1" x14ac:dyDescent="0.25">
      <c r="A23" s="2"/>
    </row>
    <row r="24" spans="1:10" x14ac:dyDescent="0.25">
      <c r="B24"/>
      <c r="J24"/>
    </row>
    <row r="25" spans="1:10" x14ac:dyDescent="0.25">
      <c r="B25"/>
      <c r="J25"/>
    </row>
    <row r="26" spans="1:10" x14ac:dyDescent="0.25">
      <c r="B26"/>
      <c r="J26"/>
    </row>
    <row r="27" spans="1:10" x14ac:dyDescent="0.25">
      <c r="B27"/>
      <c r="J27"/>
    </row>
    <row r="28" spans="1:10" x14ac:dyDescent="0.25">
      <c r="B28"/>
      <c r="J28"/>
    </row>
    <row r="29" spans="1:10" x14ac:dyDescent="0.25">
      <c r="B29"/>
      <c r="J29"/>
    </row>
    <row r="30" spans="1:10" x14ac:dyDescent="0.25">
      <c r="B30"/>
      <c r="J30"/>
    </row>
    <row r="31" spans="1:10" x14ac:dyDescent="0.25">
      <c r="B31"/>
      <c r="J31"/>
    </row>
    <row r="32" spans="1:10" x14ac:dyDescent="0.25">
      <c r="B32"/>
      <c r="J32"/>
    </row>
    <row r="33" spans="2:10" x14ac:dyDescent="0.25">
      <c r="B33"/>
      <c r="J33"/>
    </row>
    <row r="34" spans="2:10" x14ac:dyDescent="0.25">
      <c r="B34"/>
      <c r="J34"/>
    </row>
    <row r="35" spans="2:10" x14ac:dyDescent="0.25">
      <c r="B35"/>
      <c r="J35"/>
    </row>
    <row r="36" spans="2:10" x14ac:dyDescent="0.25">
      <c r="B36"/>
      <c r="J36"/>
    </row>
    <row r="37" spans="2:10" x14ac:dyDescent="0.25">
      <c r="B37"/>
      <c r="J37"/>
    </row>
    <row r="38" spans="2:10" x14ac:dyDescent="0.25">
      <c r="B38"/>
      <c r="J38"/>
    </row>
    <row r="39" spans="2:10" x14ac:dyDescent="0.25">
      <c r="B39"/>
      <c r="J39"/>
    </row>
    <row r="40" spans="2:10" x14ac:dyDescent="0.25">
      <c r="B40"/>
      <c r="J40"/>
    </row>
    <row r="41" spans="2:10" x14ac:dyDescent="0.25">
      <c r="B41"/>
      <c r="J41"/>
    </row>
    <row r="42" spans="2:10" x14ac:dyDescent="0.25">
      <c r="B42"/>
      <c r="J42"/>
    </row>
    <row r="43" spans="2:10" x14ac:dyDescent="0.25">
      <c r="B43"/>
      <c r="J43"/>
    </row>
    <row r="44" spans="2:10" x14ac:dyDescent="0.25">
      <c r="B44"/>
      <c r="J44"/>
    </row>
    <row r="45" spans="2:10" x14ac:dyDescent="0.25">
      <c r="B45"/>
      <c r="J45"/>
    </row>
    <row r="46" spans="2:10" x14ac:dyDescent="0.25">
      <c r="B46"/>
      <c r="J46"/>
    </row>
    <row r="47" spans="2:10" x14ac:dyDescent="0.25">
      <c r="B47"/>
      <c r="J47"/>
    </row>
    <row r="48" spans="2:10" x14ac:dyDescent="0.25">
      <c r="B48"/>
      <c r="J48"/>
    </row>
    <row r="49" spans="2:10" x14ac:dyDescent="0.25">
      <c r="B49"/>
      <c r="J49"/>
    </row>
    <row r="50" spans="2:10" x14ac:dyDescent="0.25">
      <c r="B50"/>
      <c r="J5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zoomScale="85" zoomScaleNormal="85" workbookViewId="0">
      <pane ySplit="13" topLeftCell="A228" activePane="bottomLeft" state="frozen"/>
      <selection pane="bottomLeft" activeCell="U2" sqref="U2:U10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5"/>
      <c r="B1" s="25" t="s">
        <v>606</v>
      </c>
      <c r="C1" s="25"/>
      <c r="D1" s="25" t="s">
        <v>899</v>
      </c>
      <c r="E1" s="25" t="s">
        <v>859</v>
      </c>
      <c r="G1" s="25" t="s">
        <v>609</v>
      </c>
      <c r="H1" s="25"/>
      <c r="J1" s="25" t="s">
        <v>876</v>
      </c>
      <c r="K1" s="25"/>
      <c r="L1" s="25" t="s">
        <v>608</v>
      </c>
      <c r="M1" s="25"/>
      <c r="Q1" s="25"/>
      <c r="R1" s="25" t="s">
        <v>902</v>
      </c>
      <c r="S1" s="25" t="s">
        <v>0</v>
      </c>
      <c r="T1" s="25" t="s">
        <v>930</v>
      </c>
      <c r="U1" s="25" t="s">
        <v>1270</v>
      </c>
      <c r="W1" s="25" t="s">
        <v>1273</v>
      </c>
    </row>
    <row r="2" spans="1:56" x14ac:dyDescent="0.25">
      <c r="A2" s="25"/>
      <c r="B2" s="25" t="s">
        <v>834</v>
      </c>
      <c r="C2" s="25" t="s">
        <v>56</v>
      </c>
      <c r="D2" s="25" t="s">
        <v>854</v>
      </c>
      <c r="E2">
        <v>5</v>
      </c>
      <c r="G2" s="25" t="s">
        <v>853</v>
      </c>
      <c r="H2" s="25" t="s">
        <v>854</v>
      </c>
      <c r="J2" s="25" t="s">
        <v>877</v>
      </c>
      <c r="K2" s="25" t="s">
        <v>879</v>
      </c>
      <c r="L2" s="25" t="s">
        <v>860</v>
      </c>
      <c r="M2" s="25" t="s">
        <v>600</v>
      </c>
      <c r="O2" s="25"/>
      <c r="P2" s="25"/>
      <c r="Q2" s="25" t="s">
        <v>925</v>
      </c>
      <c r="R2" s="25" t="s">
        <v>903</v>
      </c>
      <c r="S2" s="25" t="s">
        <v>904</v>
      </c>
      <c r="T2" s="25">
        <v>1000000</v>
      </c>
      <c r="U2" t="s">
        <v>1521</v>
      </c>
      <c r="W2" s="25" t="s">
        <v>1274</v>
      </c>
    </row>
    <row r="3" spans="1:56" x14ac:dyDescent="0.25">
      <c r="A3" s="25"/>
      <c r="B3" s="25" t="s">
        <v>835</v>
      </c>
      <c r="C3" s="25" t="s">
        <v>57</v>
      </c>
      <c r="D3" s="25" t="s">
        <v>854</v>
      </c>
      <c r="E3">
        <v>5</v>
      </c>
      <c r="G3" s="25" t="s">
        <v>855</v>
      </c>
      <c r="H3" s="25" t="s">
        <v>856</v>
      </c>
      <c r="J3" s="25" t="s">
        <v>878</v>
      </c>
      <c r="K3" s="25" t="s">
        <v>880</v>
      </c>
      <c r="L3" s="25" t="s">
        <v>882</v>
      </c>
      <c r="M3" s="25" t="s">
        <v>599</v>
      </c>
      <c r="Q3" s="25" t="s">
        <v>927</v>
      </c>
      <c r="R3" s="25" t="s">
        <v>905</v>
      </c>
      <c r="S3" s="25" t="s">
        <v>906</v>
      </c>
      <c r="T3" s="25">
        <v>900000</v>
      </c>
      <c r="U3" t="s">
        <v>1521</v>
      </c>
      <c r="W3" s="25" t="s">
        <v>1274</v>
      </c>
    </row>
    <row r="4" spans="1:56" x14ac:dyDescent="0.25">
      <c r="A4" s="25"/>
      <c r="B4" s="25" t="s">
        <v>836</v>
      </c>
      <c r="C4" s="25" t="s">
        <v>843</v>
      </c>
      <c r="D4" s="25" t="s">
        <v>854</v>
      </c>
      <c r="E4">
        <v>5</v>
      </c>
      <c r="G4" s="25" t="s">
        <v>857</v>
      </c>
      <c r="H4" s="25" t="s">
        <v>858</v>
      </c>
      <c r="J4" s="25" t="s">
        <v>896</v>
      </c>
      <c r="K4" s="25" t="s">
        <v>897</v>
      </c>
      <c r="L4" s="25" t="s">
        <v>871</v>
      </c>
      <c r="M4" s="25" t="s">
        <v>886</v>
      </c>
      <c r="Q4" s="25" t="s">
        <v>926</v>
      </c>
      <c r="R4" s="25" t="s">
        <v>907</v>
      </c>
      <c r="S4" s="25" t="s">
        <v>908</v>
      </c>
      <c r="T4" s="25">
        <v>950000</v>
      </c>
      <c r="U4" t="s">
        <v>1521</v>
      </c>
      <c r="W4" s="25" t="s">
        <v>1274</v>
      </c>
    </row>
    <row r="5" spans="1:56" x14ac:dyDescent="0.25">
      <c r="B5" s="25" t="s">
        <v>837</v>
      </c>
      <c r="C5" s="25" t="s">
        <v>844</v>
      </c>
      <c r="D5" s="25" t="s">
        <v>854</v>
      </c>
      <c r="E5">
        <v>5</v>
      </c>
      <c r="J5" s="25"/>
      <c r="K5" s="25"/>
      <c r="L5" s="25" t="s">
        <v>870</v>
      </c>
      <c r="M5" s="25" t="s">
        <v>887</v>
      </c>
      <c r="Q5" s="25" t="s">
        <v>869</v>
      </c>
      <c r="R5" s="25" t="s">
        <v>909</v>
      </c>
      <c r="S5" s="25" t="s">
        <v>910</v>
      </c>
      <c r="T5" s="25">
        <v>1000000</v>
      </c>
      <c r="U5" t="s">
        <v>1522</v>
      </c>
      <c r="W5" s="25" t="s">
        <v>1274</v>
      </c>
    </row>
    <row r="6" spans="1:56" x14ac:dyDescent="0.25">
      <c r="B6" s="37" t="s">
        <v>838</v>
      </c>
      <c r="C6" s="37" t="s">
        <v>852</v>
      </c>
      <c r="L6" s="25" t="s">
        <v>883</v>
      </c>
      <c r="M6" s="25" t="s">
        <v>888</v>
      </c>
      <c r="Q6" s="25" t="s">
        <v>883</v>
      </c>
      <c r="R6" s="25" t="s">
        <v>911</v>
      </c>
      <c r="S6" s="25" t="s">
        <v>912</v>
      </c>
      <c r="T6" s="25">
        <v>1000000</v>
      </c>
      <c r="U6" t="s">
        <v>1523</v>
      </c>
      <c r="V6" t="s">
        <v>1524</v>
      </c>
      <c r="W6" s="25" t="s">
        <v>1274</v>
      </c>
    </row>
    <row r="7" spans="1:56" x14ac:dyDescent="0.25">
      <c r="B7" s="25" t="s">
        <v>839</v>
      </c>
      <c r="C7" s="25" t="s">
        <v>58</v>
      </c>
      <c r="D7" t="s">
        <v>856</v>
      </c>
      <c r="E7">
        <v>50</v>
      </c>
      <c r="L7" s="25" t="s">
        <v>869</v>
      </c>
      <c r="M7" s="25" t="s">
        <v>889</v>
      </c>
      <c r="Q7" s="25" t="s">
        <v>928</v>
      </c>
      <c r="R7" s="25" t="s">
        <v>913</v>
      </c>
      <c r="S7" s="25" t="s">
        <v>914</v>
      </c>
      <c r="T7" s="25">
        <v>1000000</v>
      </c>
      <c r="U7" t="s">
        <v>1523</v>
      </c>
      <c r="V7" t="s">
        <v>1524</v>
      </c>
      <c r="W7" s="25" t="s">
        <v>1274</v>
      </c>
    </row>
    <row r="8" spans="1:56" x14ac:dyDescent="0.25">
      <c r="B8" s="25" t="s">
        <v>840</v>
      </c>
      <c r="C8" s="25" t="s">
        <v>59</v>
      </c>
      <c r="D8" t="s">
        <v>856</v>
      </c>
      <c r="E8">
        <v>50</v>
      </c>
      <c r="L8" s="25" t="s">
        <v>875</v>
      </c>
      <c r="M8" s="25" t="s">
        <v>890</v>
      </c>
      <c r="Q8" s="25" t="s">
        <v>870</v>
      </c>
      <c r="R8" s="25" t="s">
        <v>915</v>
      </c>
      <c r="S8" s="25" t="s">
        <v>916</v>
      </c>
      <c r="T8" s="25">
        <v>1000000</v>
      </c>
      <c r="U8" t="s">
        <v>1523</v>
      </c>
      <c r="V8" t="s">
        <v>1524</v>
      </c>
      <c r="W8" s="25" t="s">
        <v>1274</v>
      </c>
    </row>
    <row r="9" spans="1:56" x14ac:dyDescent="0.25">
      <c r="B9" s="25" t="s">
        <v>841</v>
      </c>
      <c r="C9" s="25" t="s">
        <v>846</v>
      </c>
      <c r="D9" s="25" t="s">
        <v>854</v>
      </c>
      <c r="E9">
        <v>5</v>
      </c>
      <c r="L9" s="25" t="s">
        <v>884</v>
      </c>
      <c r="M9" s="25" t="s">
        <v>849</v>
      </c>
      <c r="Q9" s="25" t="s">
        <v>871</v>
      </c>
      <c r="R9" s="25" t="s">
        <v>917</v>
      </c>
      <c r="S9" s="25" t="s">
        <v>848</v>
      </c>
      <c r="T9" s="25">
        <v>1000000</v>
      </c>
      <c r="U9" t="s">
        <v>1525</v>
      </c>
      <c r="W9" s="25" t="s">
        <v>1274</v>
      </c>
    </row>
    <row r="10" spans="1:56" x14ac:dyDescent="0.25">
      <c r="B10" s="45" t="s">
        <v>845</v>
      </c>
      <c r="C10" s="45" t="s">
        <v>847</v>
      </c>
      <c r="D10" s="25" t="s">
        <v>854</v>
      </c>
      <c r="E10">
        <v>5</v>
      </c>
      <c r="L10" s="25" t="s">
        <v>885</v>
      </c>
      <c r="M10" s="25" t="s">
        <v>891</v>
      </c>
      <c r="Q10" s="25" t="s">
        <v>875</v>
      </c>
      <c r="R10" s="25" t="s">
        <v>1272</v>
      </c>
      <c r="S10" s="25" t="s">
        <v>1272</v>
      </c>
      <c r="T10" s="25">
        <v>1000000</v>
      </c>
      <c r="U10" t="s">
        <v>1271</v>
      </c>
      <c r="W10" s="25" t="s">
        <v>1274</v>
      </c>
    </row>
    <row r="11" spans="1:56" x14ac:dyDescent="0.25">
      <c r="B11" s="37" t="s">
        <v>850</v>
      </c>
      <c r="C11" s="37" t="s">
        <v>851</v>
      </c>
      <c r="Q11" s="25" t="s">
        <v>929</v>
      </c>
      <c r="R11" s="25" t="s">
        <v>920</v>
      </c>
      <c r="S11" s="25" t="s">
        <v>921</v>
      </c>
      <c r="T11" s="25">
        <v>1000000</v>
      </c>
      <c r="AL11" t="s">
        <v>1184</v>
      </c>
    </row>
    <row r="12" spans="1:56" x14ac:dyDescent="0.25">
      <c r="B12" s="37"/>
      <c r="C12" s="37"/>
      <c r="Q12" s="25" t="s">
        <v>919</v>
      </c>
      <c r="R12" s="25" t="s">
        <v>918</v>
      </c>
      <c r="S12" s="25" t="s">
        <v>919</v>
      </c>
      <c r="T12" s="25">
        <v>1000000</v>
      </c>
    </row>
    <row r="13" spans="1:56" x14ac:dyDescent="0.25">
      <c r="A13" s="33" t="s">
        <v>842</v>
      </c>
      <c r="B13" s="32" t="s">
        <v>606</v>
      </c>
      <c r="C13" s="32" t="s">
        <v>608</v>
      </c>
      <c r="D13" s="32" t="s">
        <v>609</v>
      </c>
      <c r="E13" s="32" t="s">
        <v>859</v>
      </c>
      <c r="F13" s="33" t="s">
        <v>606</v>
      </c>
      <c r="G13" s="33" t="s">
        <v>609</v>
      </c>
      <c r="H13" s="32" t="s">
        <v>876</v>
      </c>
      <c r="I13" s="32" t="s">
        <v>892</v>
      </c>
      <c r="J13" s="32" t="s">
        <v>893</v>
      </c>
      <c r="K13" s="32" t="s">
        <v>895</v>
      </c>
      <c r="L13" s="32" t="s">
        <v>894</v>
      </c>
      <c r="M13" s="32" t="s">
        <v>610</v>
      </c>
      <c r="N13" s="32" t="s">
        <v>899</v>
      </c>
      <c r="O13" s="32" t="s">
        <v>900</v>
      </c>
      <c r="P13" s="32" t="s">
        <v>922</v>
      </c>
      <c r="Q13" s="32" t="s">
        <v>901</v>
      </c>
      <c r="R13" s="40" t="s">
        <v>881</v>
      </c>
      <c r="S13" s="40" t="s">
        <v>53</v>
      </c>
      <c r="T13" s="40" t="s">
        <v>2</v>
      </c>
      <c r="U13" s="40" t="s">
        <v>26</v>
      </c>
      <c r="V13" s="40" t="s">
        <v>56</v>
      </c>
      <c r="W13" s="40" t="s">
        <v>57</v>
      </c>
      <c r="X13" s="40" t="s">
        <v>843</v>
      </c>
      <c r="Y13" s="40" t="s">
        <v>847</v>
      </c>
      <c r="Z13" s="40" t="s">
        <v>60</v>
      </c>
      <c r="AA13" s="40" t="s">
        <v>61</v>
      </c>
      <c r="AB13" s="40" t="s">
        <v>58</v>
      </c>
      <c r="AC13" s="40" t="s">
        <v>59</v>
      </c>
      <c r="AD13" s="40" t="s">
        <v>933</v>
      </c>
      <c r="AE13" s="40" t="s">
        <v>934</v>
      </c>
      <c r="AF13" s="40" t="s">
        <v>935</v>
      </c>
      <c r="AG13" s="40" t="s">
        <v>599</v>
      </c>
      <c r="AH13" s="40" t="s">
        <v>600</v>
      </c>
      <c r="AI13" s="40" t="s">
        <v>91</v>
      </c>
      <c r="AJ13" s="40" t="s">
        <v>1275</v>
      </c>
      <c r="AL13" t="s">
        <v>881</v>
      </c>
      <c r="AM13" t="s">
        <v>53</v>
      </c>
      <c r="AN13" t="s">
        <v>2</v>
      </c>
      <c r="AO13" t="s">
        <v>26</v>
      </c>
      <c r="AP13" t="s">
        <v>56</v>
      </c>
      <c r="AQ13" t="s">
        <v>57</v>
      </c>
      <c r="AR13" t="s">
        <v>843</v>
      </c>
      <c r="AS13" t="s">
        <v>847</v>
      </c>
      <c r="AT13" t="s">
        <v>60</v>
      </c>
      <c r="AU13" t="s">
        <v>61</v>
      </c>
      <c r="AV13" t="s">
        <v>58</v>
      </c>
      <c r="AW13" t="s">
        <v>59</v>
      </c>
      <c r="AX13" t="s">
        <v>933</v>
      </c>
      <c r="AY13" t="s">
        <v>934</v>
      </c>
      <c r="AZ13" t="s">
        <v>935</v>
      </c>
      <c r="BA13" t="s">
        <v>599</v>
      </c>
      <c r="BB13" t="s">
        <v>600</v>
      </c>
      <c r="BC13" t="s">
        <v>91</v>
      </c>
      <c r="BD13" t="s">
        <v>1275</v>
      </c>
    </row>
    <row r="14" spans="1:56" x14ac:dyDescent="0.25">
      <c r="A14" s="25" t="s">
        <v>834</v>
      </c>
      <c r="B14" s="25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877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27</v>
      </c>
      <c r="AL14" t="s">
        <v>84</v>
      </c>
      <c r="AM14" t="s">
        <v>56</v>
      </c>
      <c r="AN14" t="s">
        <v>27</v>
      </c>
    </row>
    <row r="15" spans="1:56" x14ac:dyDescent="0.25">
      <c r="A15" s="25" t="s">
        <v>835</v>
      </c>
      <c r="B15" s="25" t="str">
        <f t="shared" si="0"/>
        <v>F02</v>
      </c>
      <c r="F15" t="str">
        <f t="shared" si="1"/>
        <v>MMA2</v>
      </c>
      <c r="H15" s="12" t="s">
        <v>877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27</v>
      </c>
      <c r="AL15" t="s">
        <v>594</v>
      </c>
      <c r="AM15" t="s">
        <v>57</v>
      </c>
      <c r="AN15" t="s">
        <v>27</v>
      </c>
    </row>
    <row r="16" spans="1:56" x14ac:dyDescent="0.25">
      <c r="A16" s="25" t="s">
        <v>836</v>
      </c>
      <c r="B16" s="25" t="str">
        <f t="shared" si="0"/>
        <v>F03</v>
      </c>
      <c r="F16" t="str">
        <f t="shared" si="1"/>
        <v>IBMA1</v>
      </c>
      <c r="H16" s="12" t="s">
        <v>877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27</v>
      </c>
      <c r="AL16" t="s">
        <v>931</v>
      </c>
      <c r="AM16" t="s">
        <v>843</v>
      </c>
      <c r="AN16" t="s">
        <v>27</v>
      </c>
    </row>
    <row r="17" spans="1:56" x14ac:dyDescent="0.25">
      <c r="A17" s="25" t="s">
        <v>837</v>
      </c>
      <c r="B17" s="25" t="str">
        <f t="shared" si="0"/>
        <v>F04</v>
      </c>
      <c r="F17" t="str">
        <f t="shared" si="1"/>
        <v>NMBA1</v>
      </c>
      <c r="H17" s="12" t="s">
        <v>877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27</v>
      </c>
      <c r="AL17" t="s">
        <v>1276</v>
      </c>
      <c r="AM17" t="s">
        <v>844</v>
      </c>
      <c r="AN17" t="s">
        <v>27</v>
      </c>
    </row>
    <row r="18" spans="1:56" x14ac:dyDescent="0.25">
      <c r="A18" s="25" t="s">
        <v>838</v>
      </c>
      <c r="B18" s="25" t="str">
        <f t="shared" si="0"/>
        <v>F05</v>
      </c>
      <c r="F18" t="str">
        <f t="shared" si="1"/>
        <v>TBA1</v>
      </c>
      <c r="H18" s="12" t="s">
        <v>877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27</v>
      </c>
      <c r="AL18" t="s">
        <v>36</v>
      </c>
      <c r="AM18" t="s">
        <v>852</v>
      </c>
      <c r="AN18" t="s">
        <v>27</v>
      </c>
    </row>
    <row r="19" spans="1:56" x14ac:dyDescent="0.25">
      <c r="A19" s="25" t="s">
        <v>839</v>
      </c>
      <c r="B19" s="25" t="str">
        <f t="shared" si="0"/>
        <v>F06</v>
      </c>
      <c r="F19" t="str">
        <f t="shared" si="1"/>
        <v>MAA1</v>
      </c>
      <c r="H19" s="12" t="s">
        <v>877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27</v>
      </c>
      <c r="AL19" t="s">
        <v>85</v>
      </c>
      <c r="AM19" t="s">
        <v>58</v>
      </c>
      <c r="AN19" t="s">
        <v>27</v>
      </c>
    </row>
    <row r="20" spans="1:56" x14ac:dyDescent="0.25">
      <c r="A20" s="25" t="s">
        <v>840</v>
      </c>
      <c r="B20" s="25" t="str">
        <f t="shared" si="0"/>
        <v>F07</v>
      </c>
      <c r="F20" t="str">
        <f t="shared" si="1"/>
        <v>MAA2</v>
      </c>
      <c r="H20" s="12" t="s">
        <v>877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27</v>
      </c>
      <c r="AL20" t="s">
        <v>596</v>
      </c>
      <c r="AM20" t="s">
        <v>59</v>
      </c>
      <c r="AN20" t="s">
        <v>27</v>
      </c>
    </row>
    <row r="21" spans="1:56" x14ac:dyDescent="0.25">
      <c r="A21" s="25" t="s">
        <v>841</v>
      </c>
      <c r="B21" s="25" t="str">
        <f t="shared" si="0"/>
        <v>F08</v>
      </c>
      <c r="F21" t="str">
        <f t="shared" si="1"/>
        <v>NBMA2</v>
      </c>
      <c r="H21" s="12" t="s">
        <v>877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27</v>
      </c>
      <c r="AL21" t="s">
        <v>595</v>
      </c>
      <c r="AM21" t="s">
        <v>846</v>
      </c>
      <c r="AN21" t="s">
        <v>27</v>
      </c>
    </row>
    <row r="22" spans="1:56" x14ac:dyDescent="0.25">
      <c r="A22" s="34" t="s">
        <v>845</v>
      </c>
      <c r="B22" s="34" t="str">
        <f t="shared" si="0"/>
        <v>F09</v>
      </c>
      <c r="C22" s="35"/>
      <c r="D22" s="35"/>
      <c r="E22" s="35"/>
      <c r="F22" s="35" t="str">
        <f t="shared" si="1"/>
        <v>IBMA2</v>
      </c>
      <c r="G22" s="35"/>
      <c r="H22" s="36" t="s">
        <v>877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27</v>
      </c>
      <c r="AL22" t="s">
        <v>932</v>
      </c>
      <c r="AM22" t="s">
        <v>847</v>
      </c>
      <c r="AN22" t="s">
        <v>27</v>
      </c>
    </row>
    <row r="23" spans="1:56" x14ac:dyDescent="0.25">
      <c r="A23" s="34" t="s">
        <v>850</v>
      </c>
      <c r="B23" s="34" t="str">
        <f t="shared" si="0"/>
        <v>F10</v>
      </c>
      <c r="C23" s="35"/>
      <c r="D23" s="35"/>
      <c r="E23" s="35"/>
      <c r="F23" s="35" t="str">
        <f t="shared" si="1"/>
        <v>TBA3</v>
      </c>
      <c r="G23" s="35"/>
      <c r="H23" s="36" t="s">
        <v>877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27</v>
      </c>
      <c r="AL23" t="s">
        <v>37</v>
      </c>
      <c r="AM23" t="s">
        <v>851</v>
      </c>
      <c r="AN23" t="s">
        <v>27</v>
      </c>
    </row>
    <row r="24" spans="1:56" x14ac:dyDescent="0.25">
      <c r="A24" s="34" t="s">
        <v>874</v>
      </c>
      <c r="B24" s="34" t="str">
        <f t="shared" si="0"/>
        <v>F11</v>
      </c>
      <c r="C24" s="35"/>
      <c r="D24" s="35"/>
      <c r="E24" s="35"/>
      <c r="F24" s="35" t="s">
        <v>898</v>
      </c>
      <c r="G24" s="35"/>
      <c r="H24" s="36" t="s">
        <v>896</v>
      </c>
      <c r="I24" t="str">
        <f>VLOOKUP(H24,$J$2:$K$4,2,FALSE)</f>
        <v>B910</v>
      </c>
      <c r="R24" t="str">
        <f t="shared" si="3"/>
        <v>B910TBAI</v>
      </c>
      <c r="AL24" t="s">
        <v>1277</v>
      </c>
    </row>
    <row r="25" spans="1:56" x14ac:dyDescent="0.25">
      <c r="A25" s="25" t="s">
        <v>616</v>
      </c>
      <c r="B25" s="25" t="str">
        <f>RIGHT(LEFT(A25,3),3)</f>
        <v>F01</v>
      </c>
      <c r="C25" s="25" t="str">
        <f>RIGHT(LEFT(A25,5),2)</f>
        <v>B0</v>
      </c>
      <c r="D25" s="25" t="str">
        <f>RIGHT(LEFT(A25,7),2)</f>
        <v>01</v>
      </c>
      <c r="E25" s="25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878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39">
        <f>_xlfn.NUMBERVALUE(K25&amp;"."&amp;L25,".")</f>
        <v>9</v>
      </c>
      <c r="N25" s="39" t="str">
        <f>VLOOKUP(F25,$C$2:$E$11,2,FALSE)</f>
        <v>IA</v>
      </c>
      <c r="O25" s="39">
        <f>VLOOKUP(F25,$C$2:$E$11,3,FALSE)</f>
        <v>5</v>
      </c>
      <c r="P25" s="39" t="s">
        <v>602</v>
      </c>
      <c r="Q25" s="39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27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1">
        <f t="shared" ref="AD25:AD88" si="10">U25/1000000*IF(G25="IA",IF(N25="IA",MAX(M25-O25,0),M25),0)</f>
        <v>4</v>
      </c>
      <c r="AE25" s="21">
        <f>U25/1000000*IF(G25="MEHQ",IF(N25="MEHQ",MAX(M25-O25,0),M25),0)</f>
        <v>0</v>
      </c>
      <c r="AF25" s="21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1278</v>
      </c>
      <c r="AM25" t="s">
        <v>946</v>
      </c>
      <c r="AN25" t="s">
        <v>27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1271</v>
      </c>
    </row>
    <row r="26" spans="1:56" x14ac:dyDescent="0.25">
      <c r="A26" s="25" t="s">
        <v>617</v>
      </c>
      <c r="B26" s="25" t="str">
        <f t="shared" ref="B26:B89" si="11">RIGHT(LEFT(A26,3),3)</f>
        <v>F01</v>
      </c>
      <c r="C26" s="25" t="str">
        <f t="shared" ref="C26:C89" si="12">RIGHT(LEFT(A26,5),2)</f>
        <v>B0</v>
      </c>
      <c r="D26" s="25" t="str">
        <f t="shared" ref="D26:D89" si="13">RIGHT(LEFT(A26,7),2)</f>
        <v>02</v>
      </c>
      <c r="E26" s="25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878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39">
        <f t="shared" ref="M26:M89" si="17">_xlfn.NUMBERVALUE(K26&amp;"."&amp;L26,".")</f>
        <v>15</v>
      </c>
      <c r="N26" s="39" t="str">
        <f t="shared" ref="N26:N89" si="18">VLOOKUP(F26,$C$2:$E$11,2,FALSE)</f>
        <v>IA</v>
      </c>
      <c r="O26" s="39">
        <f t="shared" ref="O26:O89" si="19">VLOOKUP(F26,$C$2:$E$11,3,FALSE)</f>
        <v>5</v>
      </c>
      <c r="P26" s="39" t="s">
        <v>602</v>
      </c>
      <c r="Q26" s="39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27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1">
        <f t="shared" si="10"/>
        <v>0</v>
      </c>
      <c r="AE26" s="21">
        <f t="shared" ref="AE26:AE89" si="25">U26/1000000*IF(G26="MEHQ",IF(N26="MEHQ",MAX(M26-O26,0),M26),0)</f>
        <v>15</v>
      </c>
      <c r="AF26" s="21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1279</v>
      </c>
      <c r="AM26" t="s">
        <v>947</v>
      </c>
      <c r="AN26" t="s">
        <v>27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1271</v>
      </c>
    </row>
    <row r="27" spans="1:56" x14ac:dyDescent="0.25">
      <c r="A27" s="25" t="s">
        <v>618</v>
      </c>
      <c r="B27" s="25" t="str">
        <f t="shared" si="11"/>
        <v>F01</v>
      </c>
      <c r="C27" s="25" t="str">
        <f t="shared" si="12"/>
        <v>B0</v>
      </c>
      <c r="D27" s="25" t="str">
        <f t="shared" si="13"/>
        <v>01</v>
      </c>
      <c r="E27" s="25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878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39">
        <f t="shared" si="17"/>
        <v>5</v>
      </c>
      <c r="N27" s="39" t="str">
        <f t="shared" si="18"/>
        <v>IA</v>
      </c>
      <c r="O27" s="39">
        <f t="shared" si="19"/>
        <v>5</v>
      </c>
      <c r="P27" s="39" t="s">
        <v>602</v>
      </c>
      <c r="Q27" s="39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27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1">
        <f t="shared" si="10"/>
        <v>0</v>
      </c>
      <c r="AE27" s="21">
        <f t="shared" si="25"/>
        <v>0</v>
      </c>
      <c r="AF27" s="21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1280</v>
      </c>
      <c r="AM27" t="s">
        <v>948</v>
      </c>
      <c r="AN27" t="s">
        <v>27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1271</v>
      </c>
    </row>
    <row r="28" spans="1:56" x14ac:dyDescent="0.25">
      <c r="A28" s="25" t="s">
        <v>619</v>
      </c>
      <c r="B28" s="25" t="str">
        <f t="shared" si="11"/>
        <v>F01</v>
      </c>
      <c r="C28" s="25" t="str">
        <f t="shared" si="12"/>
        <v>B0</v>
      </c>
      <c r="D28" s="25" t="str">
        <f t="shared" si="13"/>
        <v>01</v>
      </c>
      <c r="E28" s="25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878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39">
        <f t="shared" si="17"/>
        <v>6</v>
      </c>
      <c r="N28" s="39" t="str">
        <f t="shared" si="18"/>
        <v>IA</v>
      </c>
      <c r="O28" s="39">
        <f t="shared" si="19"/>
        <v>5</v>
      </c>
      <c r="P28" s="39" t="s">
        <v>602</v>
      </c>
      <c r="Q28" s="39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27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1">
        <f t="shared" si="10"/>
        <v>1</v>
      </c>
      <c r="AE28" s="21">
        <f t="shared" si="25"/>
        <v>0</v>
      </c>
      <c r="AF28" s="21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1281</v>
      </c>
      <c r="AM28" t="s">
        <v>949</v>
      </c>
      <c r="AN28" t="s">
        <v>27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1271</v>
      </c>
    </row>
    <row r="29" spans="1:56" x14ac:dyDescent="0.25">
      <c r="A29" s="25" t="s">
        <v>620</v>
      </c>
      <c r="B29" s="25" t="str">
        <f t="shared" si="11"/>
        <v>F01</v>
      </c>
      <c r="C29" s="25" t="str">
        <f t="shared" si="12"/>
        <v>B0</v>
      </c>
      <c r="D29" s="25" t="str">
        <f t="shared" si="13"/>
        <v>01</v>
      </c>
      <c r="E29" s="25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878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39">
        <f t="shared" si="17"/>
        <v>7</v>
      </c>
      <c r="N29" s="39" t="str">
        <f t="shared" si="18"/>
        <v>IA</v>
      </c>
      <c r="O29" s="39">
        <f t="shared" si="19"/>
        <v>5</v>
      </c>
      <c r="P29" s="39" t="s">
        <v>602</v>
      </c>
      <c r="Q29" s="39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27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1">
        <f t="shared" si="10"/>
        <v>2</v>
      </c>
      <c r="AE29" s="21">
        <f t="shared" si="25"/>
        <v>0</v>
      </c>
      <c r="AF29" s="21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1282</v>
      </c>
      <c r="AM29" t="s">
        <v>950</v>
      </c>
      <c r="AN29" t="s">
        <v>27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1271</v>
      </c>
    </row>
    <row r="30" spans="1:56" x14ac:dyDescent="0.25">
      <c r="A30" s="25" t="s">
        <v>621</v>
      </c>
      <c r="B30" s="25" t="str">
        <f t="shared" si="11"/>
        <v>F01</v>
      </c>
      <c r="C30" s="25" t="str">
        <f t="shared" si="12"/>
        <v>B0</v>
      </c>
      <c r="D30" s="25" t="str">
        <f t="shared" si="13"/>
        <v>01</v>
      </c>
      <c r="E30" s="25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878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39">
        <f t="shared" si="17"/>
        <v>8</v>
      </c>
      <c r="N30" s="39" t="str">
        <f t="shared" si="18"/>
        <v>IA</v>
      </c>
      <c r="O30" s="39">
        <f t="shared" si="19"/>
        <v>5</v>
      </c>
      <c r="P30" s="39" t="s">
        <v>602</v>
      </c>
      <c r="Q30" s="39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27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1">
        <f t="shared" si="10"/>
        <v>3</v>
      </c>
      <c r="AE30" s="21">
        <f t="shared" si="25"/>
        <v>0</v>
      </c>
      <c r="AF30" s="21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1283</v>
      </c>
      <c r="AM30" t="s">
        <v>951</v>
      </c>
      <c r="AN30" t="s">
        <v>27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1271</v>
      </c>
    </row>
    <row r="31" spans="1:56" x14ac:dyDescent="0.25">
      <c r="A31" s="25" t="s">
        <v>622</v>
      </c>
      <c r="B31" s="25" t="str">
        <f t="shared" si="11"/>
        <v>F01</v>
      </c>
      <c r="C31" s="25" t="str">
        <f t="shared" si="12"/>
        <v>B0</v>
      </c>
      <c r="D31" s="25" t="str">
        <f t="shared" si="13"/>
        <v>01</v>
      </c>
      <c r="E31" s="25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878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39">
        <f t="shared" si="17"/>
        <v>10</v>
      </c>
      <c r="N31" s="39" t="str">
        <f t="shared" si="18"/>
        <v>IA</v>
      </c>
      <c r="O31" s="39">
        <f t="shared" si="19"/>
        <v>5</v>
      </c>
      <c r="P31" s="39" t="s">
        <v>602</v>
      </c>
      <c r="Q31" s="39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27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1">
        <f t="shared" si="10"/>
        <v>5</v>
      </c>
      <c r="AE31" s="21">
        <f t="shared" si="25"/>
        <v>0</v>
      </c>
      <c r="AF31" s="21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1284</v>
      </c>
      <c r="AM31" t="s">
        <v>952</v>
      </c>
      <c r="AN31" t="s">
        <v>27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1271</v>
      </c>
    </row>
    <row r="32" spans="1:56" x14ac:dyDescent="0.25">
      <c r="A32" s="25" t="s">
        <v>623</v>
      </c>
      <c r="B32" s="25" t="str">
        <f t="shared" si="11"/>
        <v>F01</v>
      </c>
      <c r="C32" s="25" t="str">
        <f t="shared" si="12"/>
        <v>B0</v>
      </c>
      <c r="D32" s="25" t="str">
        <f t="shared" si="13"/>
        <v>01</v>
      </c>
      <c r="E32" s="25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878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39">
        <f t="shared" si="17"/>
        <v>12</v>
      </c>
      <c r="N32" s="39" t="str">
        <f t="shared" si="18"/>
        <v>IA</v>
      </c>
      <c r="O32" s="39">
        <f t="shared" si="19"/>
        <v>5</v>
      </c>
      <c r="P32" s="39" t="s">
        <v>602</v>
      </c>
      <c r="Q32" s="39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27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1">
        <f t="shared" si="10"/>
        <v>7</v>
      </c>
      <c r="AE32" s="21">
        <f t="shared" si="25"/>
        <v>0</v>
      </c>
      <c r="AF32" s="21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1285</v>
      </c>
      <c r="AM32" t="s">
        <v>953</v>
      </c>
      <c r="AN32" t="s">
        <v>27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1271</v>
      </c>
    </row>
    <row r="33" spans="1:56" x14ac:dyDescent="0.25">
      <c r="A33" s="25" t="s">
        <v>624</v>
      </c>
      <c r="B33" s="25" t="str">
        <f t="shared" si="11"/>
        <v>F01</v>
      </c>
      <c r="C33" s="25" t="str">
        <f t="shared" si="12"/>
        <v>B0</v>
      </c>
      <c r="D33" s="25" t="str">
        <f t="shared" si="13"/>
        <v>01</v>
      </c>
      <c r="E33" s="25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878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39">
        <f t="shared" si="17"/>
        <v>13</v>
      </c>
      <c r="N33" s="39" t="str">
        <f t="shared" si="18"/>
        <v>IA</v>
      </c>
      <c r="O33" s="39">
        <f t="shared" si="19"/>
        <v>5</v>
      </c>
      <c r="P33" s="39" t="s">
        <v>602</v>
      </c>
      <c r="Q33" s="39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27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1">
        <f t="shared" si="10"/>
        <v>8</v>
      </c>
      <c r="AE33" s="21">
        <f t="shared" si="25"/>
        <v>0</v>
      </c>
      <c r="AF33" s="21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1286</v>
      </c>
      <c r="AM33" t="s">
        <v>954</v>
      </c>
      <c r="AN33" t="s">
        <v>27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1271</v>
      </c>
    </row>
    <row r="34" spans="1:56" x14ac:dyDescent="0.25">
      <c r="A34" s="25" t="s">
        <v>625</v>
      </c>
      <c r="B34" s="25" t="str">
        <f t="shared" si="11"/>
        <v>F01</v>
      </c>
      <c r="C34" s="25" t="str">
        <f t="shared" si="12"/>
        <v>B0</v>
      </c>
      <c r="D34" s="25" t="str">
        <f t="shared" si="13"/>
        <v>01</v>
      </c>
      <c r="E34" s="25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878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39">
        <f t="shared" si="17"/>
        <v>15</v>
      </c>
      <c r="N34" s="39" t="str">
        <f t="shared" si="18"/>
        <v>IA</v>
      </c>
      <c r="O34" s="39">
        <f t="shared" si="19"/>
        <v>5</v>
      </c>
      <c r="P34" s="39" t="s">
        <v>602</v>
      </c>
      <c r="Q34" s="39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27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1">
        <f t="shared" si="10"/>
        <v>10</v>
      </c>
      <c r="AE34" s="21">
        <f t="shared" si="25"/>
        <v>0</v>
      </c>
      <c r="AF34" s="21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1287</v>
      </c>
      <c r="AM34" t="s">
        <v>955</v>
      </c>
      <c r="AN34" t="s">
        <v>27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1271</v>
      </c>
    </row>
    <row r="35" spans="1:56" x14ac:dyDescent="0.25">
      <c r="A35" s="25" t="s">
        <v>626</v>
      </c>
      <c r="B35" s="25" t="str">
        <f t="shared" si="11"/>
        <v>F01</v>
      </c>
      <c r="C35" s="25" t="str">
        <f t="shared" si="12"/>
        <v>B0</v>
      </c>
      <c r="D35" s="25" t="str">
        <f t="shared" si="13"/>
        <v>01</v>
      </c>
      <c r="E35" s="25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878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39">
        <f t="shared" si="17"/>
        <v>20</v>
      </c>
      <c r="N35" s="39" t="str">
        <f t="shared" si="18"/>
        <v>IA</v>
      </c>
      <c r="O35" s="39">
        <f t="shared" si="19"/>
        <v>5</v>
      </c>
      <c r="P35" s="39" t="s">
        <v>602</v>
      </c>
      <c r="Q35" s="39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27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1">
        <f t="shared" si="10"/>
        <v>15</v>
      </c>
      <c r="AE35" s="21">
        <f t="shared" si="25"/>
        <v>0</v>
      </c>
      <c r="AF35" s="21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1288</v>
      </c>
      <c r="AM35" t="s">
        <v>956</v>
      </c>
      <c r="AN35" t="s">
        <v>27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1271</v>
      </c>
    </row>
    <row r="36" spans="1:56" x14ac:dyDescent="0.25">
      <c r="A36" s="25" t="s">
        <v>627</v>
      </c>
      <c r="B36" s="25" t="str">
        <f t="shared" si="11"/>
        <v>F01</v>
      </c>
      <c r="C36" s="25" t="str">
        <f t="shared" si="12"/>
        <v>B0</v>
      </c>
      <c r="D36" s="25" t="str">
        <f t="shared" si="13"/>
        <v>01</v>
      </c>
      <c r="E36" s="25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878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39">
        <f t="shared" si="17"/>
        <v>50</v>
      </c>
      <c r="N36" s="39" t="str">
        <f t="shared" si="18"/>
        <v>IA</v>
      </c>
      <c r="O36" s="39">
        <f t="shared" si="19"/>
        <v>5</v>
      </c>
      <c r="P36" s="39" t="s">
        <v>602</v>
      </c>
      <c r="Q36" s="39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27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1">
        <f t="shared" si="10"/>
        <v>45</v>
      </c>
      <c r="AE36" s="21">
        <f t="shared" si="25"/>
        <v>0</v>
      </c>
      <c r="AF36" s="21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1289</v>
      </c>
      <c r="AM36" t="s">
        <v>957</v>
      </c>
      <c r="AN36" t="s">
        <v>27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1271</v>
      </c>
    </row>
    <row r="37" spans="1:56" x14ac:dyDescent="0.25">
      <c r="A37" s="25" t="s">
        <v>628</v>
      </c>
      <c r="B37" s="25" t="str">
        <f t="shared" si="11"/>
        <v>F01</v>
      </c>
      <c r="C37" s="25" t="str">
        <f t="shared" si="12"/>
        <v>DN</v>
      </c>
      <c r="D37" s="25" t="str">
        <f t="shared" si="13"/>
        <v>01</v>
      </c>
      <c r="E37" s="25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878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39">
        <f t="shared" si="17"/>
        <v>2.5</v>
      </c>
      <c r="N37" s="39" t="str">
        <f t="shared" si="18"/>
        <v>IA</v>
      </c>
      <c r="O37" s="39">
        <f t="shared" si="19"/>
        <v>5</v>
      </c>
      <c r="P37" s="39" t="s">
        <v>602</v>
      </c>
      <c r="Q37" s="39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27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1">
        <f t="shared" si="10"/>
        <v>0</v>
      </c>
      <c r="AE37" s="21">
        <f t="shared" si="25"/>
        <v>0</v>
      </c>
      <c r="AF37" s="21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1290</v>
      </c>
      <c r="AM37" t="s">
        <v>958</v>
      </c>
      <c r="AN37" t="s">
        <v>27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1521</v>
      </c>
    </row>
    <row r="38" spans="1:56" x14ac:dyDescent="0.25">
      <c r="A38" s="25" t="s">
        <v>629</v>
      </c>
      <c r="B38" s="25" t="str">
        <f t="shared" si="11"/>
        <v>F01</v>
      </c>
      <c r="C38" s="25" t="str">
        <f t="shared" si="12"/>
        <v>DN</v>
      </c>
      <c r="D38" s="25" t="str">
        <f t="shared" si="13"/>
        <v>01</v>
      </c>
      <c r="E38" s="25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878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39">
        <f t="shared" si="17"/>
        <v>25</v>
      </c>
      <c r="N38" s="39" t="str">
        <f t="shared" si="18"/>
        <v>IA</v>
      </c>
      <c r="O38" s="39">
        <f t="shared" si="19"/>
        <v>5</v>
      </c>
      <c r="P38" s="39" t="s">
        <v>602</v>
      </c>
      <c r="Q38" s="39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27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1">
        <f t="shared" si="10"/>
        <v>19</v>
      </c>
      <c r="AE38" s="21">
        <f t="shared" si="25"/>
        <v>0</v>
      </c>
      <c r="AF38" s="21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1291</v>
      </c>
      <c r="AM38" t="s">
        <v>959</v>
      </c>
      <c r="AN38" t="s">
        <v>27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1521</v>
      </c>
    </row>
    <row r="39" spans="1:56" x14ac:dyDescent="0.25">
      <c r="A39" s="25" t="s">
        <v>630</v>
      </c>
      <c r="B39" s="25" t="str">
        <f t="shared" si="11"/>
        <v>F01</v>
      </c>
      <c r="C39" s="25" t="str">
        <f t="shared" si="12"/>
        <v>DN</v>
      </c>
      <c r="D39" s="25" t="str">
        <f t="shared" si="13"/>
        <v>01</v>
      </c>
      <c r="E39" s="25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878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39">
        <f t="shared" si="17"/>
        <v>30</v>
      </c>
      <c r="N39" s="39" t="str">
        <f t="shared" si="18"/>
        <v>IA</v>
      </c>
      <c r="O39" s="39">
        <f t="shared" si="19"/>
        <v>5</v>
      </c>
      <c r="P39" s="39" t="s">
        <v>602</v>
      </c>
      <c r="Q39" s="39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27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1">
        <f t="shared" si="10"/>
        <v>23.75</v>
      </c>
      <c r="AE39" s="21">
        <f t="shared" si="25"/>
        <v>0</v>
      </c>
      <c r="AF39" s="21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1292</v>
      </c>
      <c r="AM39" t="s">
        <v>960</v>
      </c>
      <c r="AN39" t="s">
        <v>27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1521</v>
      </c>
    </row>
    <row r="40" spans="1:56" x14ac:dyDescent="0.25">
      <c r="A40" s="25" t="s">
        <v>631</v>
      </c>
      <c r="B40" s="25" t="str">
        <f t="shared" si="11"/>
        <v>F01</v>
      </c>
      <c r="C40" s="25" t="str">
        <f t="shared" si="12"/>
        <v>DN</v>
      </c>
      <c r="D40" s="25" t="str">
        <f t="shared" si="13"/>
        <v>02</v>
      </c>
      <c r="E40" s="25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878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39">
        <f t="shared" si="17"/>
        <v>3</v>
      </c>
      <c r="N40" s="39" t="str">
        <f t="shared" si="18"/>
        <v>IA</v>
      </c>
      <c r="O40" s="39">
        <f t="shared" si="19"/>
        <v>5</v>
      </c>
      <c r="P40" s="39" t="s">
        <v>602</v>
      </c>
      <c r="Q40" s="39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27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1">
        <f t="shared" si="10"/>
        <v>0</v>
      </c>
      <c r="AE40" s="21">
        <f t="shared" si="25"/>
        <v>2.8499999999999996</v>
      </c>
      <c r="AF40" s="21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1293</v>
      </c>
      <c r="AM40" t="s">
        <v>961</v>
      </c>
      <c r="AN40" t="s">
        <v>27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1521</v>
      </c>
    </row>
    <row r="41" spans="1:56" x14ac:dyDescent="0.25">
      <c r="A41" s="25" t="s">
        <v>632</v>
      </c>
      <c r="B41" s="25" t="str">
        <f t="shared" si="11"/>
        <v>F01</v>
      </c>
      <c r="C41" s="25" t="str">
        <f t="shared" si="12"/>
        <v>DN</v>
      </c>
      <c r="D41" s="25" t="str">
        <f t="shared" si="13"/>
        <v>02</v>
      </c>
      <c r="E41" s="25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878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39">
        <f t="shared" si="17"/>
        <v>15</v>
      </c>
      <c r="N41" s="39" t="str">
        <f t="shared" si="18"/>
        <v>IA</v>
      </c>
      <c r="O41" s="39">
        <f t="shared" si="19"/>
        <v>5</v>
      </c>
      <c r="P41" s="39" t="s">
        <v>602</v>
      </c>
      <c r="Q41" s="39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27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1">
        <f t="shared" si="10"/>
        <v>0</v>
      </c>
      <c r="AE41" s="21">
        <f t="shared" si="25"/>
        <v>14.25</v>
      </c>
      <c r="AF41" s="21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1294</v>
      </c>
      <c r="AM41" t="s">
        <v>962</v>
      </c>
      <c r="AN41" t="s">
        <v>27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1521</v>
      </c>
    </row>
    <row r="42" spans="1:56" x14ac:dyDescent="0.25">
      <c r="A42" s="25" t="s">
        <v>633</v>
      </c>
      <c r="B42" s="25" t="str">
        <f t="shared" si="11"/>
        <v>F01</v>
      </c>
      <c r="C42" s="25" t="str">
        <f t="shared" si="12"/>
        <v>DN</v>
      </c>
      <c r="D42" s="25" t="str">
        <f t="shared" si="13"/>
        <v>02</v>
      </c>
      <c r="E42" s="25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878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39">
        <f t="shared" si="17"/>
        <v>20</v>
      </c>
      <c r="N42" s="39" t="str">
        <f t="shared" si="18"/>
        <v>IA</v>
      </c>
      <c r="O42" s="39">
        <f t="shared" si="19"/>
        <v>5</v>
      </c>
      <c r="P42" s="39" t="s">
        <v>602</v>
      </c>
      <c r="Q42" s="39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27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1">
        <f t="shared" si="10"/>
        <v>0</v>
      </c>
      <c r="AE42" s="21">
        <f t="shared" si="25"/>
        <v>19</v>
      </c>
      <c r="AF42" s="21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1295</v>
      </c>
      <c r="AM42" t="s">
        <v>963</v>
      </c>
      <c r="AN42" t="s">
        <v>27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1521</v>
      </c>
    </row>
    <row r="43" spans="1:56" x14ac:dyDescent="0.25">
      <c r="A43" s="25" t="s">
        <v>634</v>
      </c>
      <c r="B43" s="25" t="str">
        <f t="shared" si="11"/>
        <v>F01</v>
      </c>
      <c r="C43" s="25" t="str">
        <f t="shared" si="12"/>
        <v>DN</v>
      </c>
      <c r="D43" s="25" t="str">
        <f t="shared" si="13"/>
        <v>02</v>
      </c>
      <c r="E43" s="25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878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39">
        <f t="shared" si="17"/>
        <v>25</v>
      </c>
      <c r="N43" s="39" t="str">
        <f t="shared" si="18"/>
        <v>IA</v>
      </c>
      <c r="O43" s="39">
        <f t="shared" si="19"/>
        <v>5</v>
      </c>
      <c r="P43" s="39" t="s">
        <v>602</v>
      </c>
      <c r="Q43" s="39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27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1">
        <f t="shared" si="10"/>
        <v>0</v>
      </c>
      <c r="AE43" s="21">
        <f t="shared" si="25"/>
        <v>23.75</v>
      </c>
      <c r="AF43" s="21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1296</v>
      </c>
      <c r="AM43" t="s">
        <v>964</v>
      </c>
      <c r="AN43" t="s">
        <v>27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1521</v>
      </c>
    </row>
    <row r="44" spans="1:56" x14ac:dyDescent="0.25">
      <c r="A44" s="25" t="s">
        <v>635</v>
      </c>
      <c r="B44" s="25" t="str">
        <f t="shared" si="11"/>
        <v>F01</v>
      </c>
      <c r="C44" s="25" t="str">
        <f t="shared" si="12"/>
        <v>DN</v>
      </c>
      <c r="D44" s="25" t="str">
        <f t="shared" si="13"/>
        <v>02</v>
      </c>
      <c r="E44" s="25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878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39">
        <f t="shared" si="17"/>
        <v>35</v>
      </c>
      <c r="N44" s="39" t="str">
        <f t="shared" si="18"/>
        <v>IA</v>
      </c>
      <c r="O44" s="39">
        <f t="shared" si="19"/>
        <v>5</v>
      </c>
      <c r="P44" s="39" t="s">
        <v>602</v>
      </c>
      <c r="Q44" s="39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27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1">
        <f t="shared" si="10"/>
        <v>0</v>
      </c>
      <c r="AE44" s="21">
        <f t="shared" si="25"/>
        <v>33.25</v>
      </c>
      <c r="AF44" s="21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1297</v>
      </c>
      <c r="AM44" t="s">
        <v>965</v>
      </c>
      <c r="AN44" t="s">
        <v>27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1521</v>
      </c>
    </row>
    <row r="45" spans="1:56" x14ac:dyDescent="0.25">
      <c r="A45" s="25" t="s">
        <v>636</v>
      </c>
      <c r="B45" s="25" t="str">
        <f t="shared" si="11"/>
        <v>F01</v>
      </c>
      <c r="C45" s="25" t="str">
        <f t="shared" si="12"/>
        <v>DN</v>
      </c>
      <c r="D45" s="25" t="str">
        <f t="shared" si="13"/>
        <v>02</v>
      </c>
      <c r="E45" s="25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878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39">
        <f t="shared" si="17"/>
        <v>50</v>
      </c>
      <c r="N45" s="39" t="str">
        <f t="shared" si="18"/>
        <v>IA</v>
      </c>
      <c r="O45" s="39">
        <f t="shared" si="19"/>
        <v>5</v>
      </c>
      <c r="P45" s="39" t="s">
        <v>602</v>
      </c>
      <c r="Q45" s="39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27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1">
        <f t="shared" si="10"/>
        <v>0</v>
      </c>
      <c r="AE45" s="21">
        <f t="shared" si="25"/>
        <v>47.5</v>
      </c>
      <c r="AF45" s="21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1298</v>
      </c>
      <c r="AM45" t="s">
        <v>966</v>
      </c>
      <c r="AN45" t="s">
        <v>27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1521</v>
      </c>
    </row>
    <row r="46" spans="1:56" x14ac:dyDescent="0.25">
      <c r="A46" s="25" t="s">
        <v>637</v>
      </c>
      <c r="B46" s="25" t="str">
        <f t="shared" si="11"/>
        <v>F01</v>
      </c>
      <c r="C46" s="25" t="str">
        <f t="shared" si="12"/>
        <v>DN</v>
      </c>
      <c r="D46" s="25" t="str">
        <f t="shared" si="13"/>
        <v>02</v>
      </c>
      <c r="E46" s="25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878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39">
        <f t="shared" si="17"/>
        <v>100</v>
      </c>
      <c r="N46" s="39" t="str">
        <f t="shared" si="18"/>
        <v>IA</v>
      </c>
      <c r="O46" s="39">
        <f t="shared" si="19"/>
        <v>5</v>
      </c>
      <c r="P46" s="39" t="s">
        <v>602</v>
      </c>
      <c r="Q46" s="39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27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1">
        <f t="shared" si="10"/>
        <v>0</v>
      </c>
      <c r="AE46" s="21">
        <f t="shared" si="25"/>
        <v>95</v>
      </c>
      <c r="AF46" s="21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1299</v>
      </c>
      <c r="AM46" t="s">
        <v>967</v>
      </c>
      <c r="AN46" t="s">
        <v>27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1521</v>
      </c>
    </row>
    <row r="47" spans="1:56" x14ac:dyDescent="0.25">
      <c r="A47" s="25" t="s">
        <v>638</v>
      </c>
      <c r="B47" s="25" t="str">
        <f t="shared" si="11"/>
        <v>F01</v>
      </c>
      <c r="C47" s="25" t="str">
        <f t="shared" si="12"/>
        <v>DN</v>
      </c>
      <c r="D47" s="25" t="str">
        <f t="shared" si="13"/>
        <v>01</v>
      </c>
      <c r="E47" s="25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878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39">
        <f t="shared" si="17"/>
        <v>5</v>
      </c>
      <c r="N47" s="39" t="str">
        <f t="shared" si="18"/>
        <v>IA</v>
      </c>
      <c r="O47" s="39">
        <f t="shared" si="19"/>
        <v>5</v>
      </c>
      <c r="P47" s="39" t="s">
        <v>602</v>
      </c>
      <c r="Q47" s="39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27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1">
        <f t="shared" si="10"/>
        <v>0</v>
      </c>
      <c r="AE47" s="21">
        <f t="shared" si="25"/>
        <v>0</v>
      </c>
      <c r="AF47" s="21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1300</v>
      </c>
      <c r="AM47" t="s">
        <v>968</v>
      </c>
      <c r="AN47" t="s">
        <v>27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1521</v>
      </c>
    </row>
    <row r="48" spans="1:56" x14ac:dyDescent="0.25">
      <c r="A48" s="25" t="s">
        <v>639</v>
      </c>
      <c r="B48" s="25" t="str">
        <f t="shared" si="11"/>
        <v>F01</v>
      </c>
      <c r="C48" s="25" t="str">
        <f t="shared" si="12"/>
        <v>DN</v>
      </c>
      <c r="D48" s="25" t="str">
        <f t="shared" si="13"/>
        <v>01</v>
      </c>
      <c r="E48" s="25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878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39">
        <f t="shared" si="17"/>
        <v>10</v>
      </c>
      <c r="N48" s="39" t="str">
        <f t="shared" si="18"/>
        <v>IA</v>
      </c>
      <c r="O48" s="39">
        <f t="shared" si="19"/>
        <v>5</v>
      </c>
      <c r="P48" s="39" t="s">
        <v>602</v>
      </c>
      <c r="Q48" s="39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27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1">
        <f t="shared" si="10"/>
        <v>4.75</v>
      </c>
      <c r="AE48" s="21">
        <f t="shared" si="25"/>
        <v>0</v>
      </c>
      <c r="AF48" s="21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1301</v>
      </c>
      <c r="AM48" t="s">
        <v>969</v>
      </c>
      <c r="AN48" t="s">
        <v>27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1521</v>
      </c>
    </row>
    <row r="49" spans="1:56" x14ac:dyDescent="0.25">
      <c r="A49" s="25" t="s">
        <v>640</v>
      </c>
      <c r="B49" s="25" t="str">
        <f t="shared" si="11"/>
        <v>F01</v>
      </c>
      <c r="C49" s="25" t="str">
        <f t="shared" si="12"/>
        <v>DN</v>
      </c>
      <c r="D49" s="25" t="str">
        <f t="shared" si="13"/>
        <v>01</v>
      </c>
      <c r="E49" s="25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878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39">
        <f t="shared" si="17"/>
        <v>12</v>
      </c>
      <c r="N49" s="39" t="str">
        <f t="shared" si="18"/>
        <v>IA</v>
      </c>
      <c r="O49" s="39">
        <f t="shared" si="19"/>
        <v>5</v>
      </c>
      <c r="P49" s="39" t="s">
        <v>602</v>
      </c>
      <c r="Q49" s="39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27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1">
        <f t="shared" si="10"/>
        <v>6.6499999999999995</v>
      </c>
      <c r="AE49" s="21">
        <f t="shared" si="25"/>
        <v>0</v>
      </c>
      <c r="AF49" s="21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1302</v>
      </c>
      <c r="AM49" t="s">
        <v>970</v>
      </c>
      <c r="AN49" t="s">
        <v>27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1521</v>
      </c>
    </row>
    <row r="50" spans="1:56" x14ac:dyDescent="0.25">
      <c r="A50" s="25" t="s">
        <v>641</v>
      </c>
      <c r="B50" s="25" t="str">
        <f t="shared" si="11"/>
        <v>F01</v>
      </c>
      <c r="C50" s="25" t="str">
        <f t="shared" si="12"/>
        <v>DN</v>
      </c>
      <c r="D50" s="25" t="str">
        <f t="shared" si="13"/>
        <v>01</v>
      </c>
      <c r="E50" s="25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878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39">
        <f t="shared" si="17"/>
        <v>15</v>
      </c>
      <c r="N50" s="39" t="str">
        <f t="shared" si="18"/>
        <v>IA</v>
      </c>
      <c r="O50" s="39">
        <f t="shared" si="19"/>
        <v>5</v>
      </c>
      <c r="P50" s="39" t="s">
        <v>602</v>
      </c>
      <c r="Q50" s="39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27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1">
        <f t="shared" si="10"/>
        <v>9.5</v>
      </c>
      <c r="AE50" s="21">
        <f t="shared" si="25"/>
        <v>0</v>
      </c>
      <c r="AF50" s="21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1303</v>
      </c>
      <c r="AM50" t="s">
        <v>971</v>
      </c>
      <c r="AN50" t="s">
        <v>27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1521</v>
      </c>
    </row>
    <row r="51" spans="1:56" x14ac:dyDescent="0.25">
      <c r="A51" s="25" t="s">
        <v>642</v>
      </c>
      <c r="B51" s="25" t="str">
        <f t="shared" si="11"/>
        <v>F01</v>
      </c>
      <c r="C51" s="25" t="str">
        <f t="shared" si="12"/>
        <v>DN</v>
      </c>
      <c r="D51" s="25" t="str">
        <f t="shared" si="13"/>
        <v>01</v>
      </c>
      <c r="E51" s="25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878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39">
        <f t="shared" si="17"/>
        <v>20</v>
      </c>
      <c r="N51" s="39" t="str">
        <f t="shared" si="18"/>
        <v>IA</v>
      </c>
      <c r="O51" s="39">
        <f t="shared" si="19"/>
        <v>5</v>
      </c>
      <c r="P51" s="39" t="s">
        <v>602</v>
      </c>
      <c r="Q51" s="39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27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1">
        <f t="shared" si="10"/>
        <v>14.25</v>
      </c>
      <c r="AE51" s="21">
        <f t="shared" si="25"/>
        <v>0</v>
      </c>
      <c r="AF51" s="21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1304</v>
      </c>
      <c r="AM51" t="s">
        <v>972</v>
      </c>
      <c r="AN51" t="s">
        <v>27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1521</v>
      </c>
    </row>
    <row r="52" spans="1:56" x14ac:dyDescent="0.25">
      <c r="A52" s="25" t="s">
        <v>643</v>
      </c>
      <c r="B52" s="25" t="str">
        <f t="shared" si="11"/>
        <v>F01</v>
      </c>
      <c r="C52" s="25" t="str">
        <f t="shared" si="12"/>
        <v>DN</v>
      </c>
      <c r="D52" s="25" t="str">
        <f t="shared" si="13"/>
        <v>01</v>
      </c>
      <c r="E52" s="25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878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39">
        <f t="shared" si="17"/>
        <v>45</v>
      </c>
      <c r="N52" s="39" t="str">
        <f t="shared" si="18"/>
        <v>IA</v>
      </c>
      <c r="O52" s="39">
        <f t="shared" si="19"/>
        <v>5</v>
      </c>
      <c r="P52" s="39" t="s">
        <v>602</v>
      </c>
      <c r="Q52" s="39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27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1">
        <f t="shared" si="10"/>
        <v>38</v>
      </c>
      <c r="AE52" s="21">
        <f t="shared" si="25"/>
        <v>0</v>
      </c>
      <c r="AF52" s="21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1305</v>
      </c>
      <c r="AM52" t="s">
        <v>973</v>
      </c>
      <c r="AN52" t="s">
        <v>27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1521</v>
      </c>
    </row>
    <row r="53" spans="1:56" x14ac:dyDescent="0.25">
      <c r="A53" s="25" t="s">
        <v>644</v>
      </c>
      <c r="B53" s="25" t="str">
        <f t="shared" si="11"/>
        <v>F01</v>
      </c>
      <c r="C53" s="25" t="str">
        <f t="shared" si="12"/>
        <v>DN</v>
      </c>
      <c r="D53" s="25" t="str">
        <f t="shared" si="13"/>
        <v>01</v>
      </c>
      <c r="E53" s="25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878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39">
        <f t="shared" si="17"/>
        <v>50</v>
      </c>
      <c r="N53" s="39" t="str">
        <f t="shared" si="18"/>
        <v>IA</v>
      </c>
      <c r="O53" s="39">
        <f t="shared" si="19"/>
        <v>5</v>
      </c>
      <c r="P53" s="39" t="s">
        <v>602</v>
      </c>
      <c r="Q53" s="39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27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1">
        <f t="shared" si="10"/>
        <v>42.75</v>
      </c>
      <c r="AE53" s="21">
        <f t="shared" si="25"/>
        <v>0</v>
      </c>
      <c r="AF53" s="21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1306</v>
      </c>
      <c r="AM53" t="s">
        <v>974</v>
      </c>
      <c r="AN53" t="s">
        <v>27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1521</v>
      </c>
    </row>
    <row r="54" spans="1:56" x14ac:dyDescent="0.25">
      <c r="A54" s="25" t="s">
        <v>645</v>
      </c>
      <c r="B54" s="25" t="str">
        <f t="shared" si="11"/>
        <v>F01</v>
      </c>
      <c r="C54" s="25" t="str">
        <f t="shared" si="12"/>
        <v>DN</v>
      </c>
      <c r="D54" s="25" t="str">
        <f t="shared" si="13"/>
        <v>01</v>
      </c>
      <c r="E54" s="25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878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39">
        <f t="shared" si="17"/>
        <v>100</v>
      </c>
      <c r="N54" s="39" t="str">
        <f t="shared" si="18"/>
        <v>IA</v>
      </c>
      <c r="O54" s="39">
        <f t="shared" si="19"/>
        <v>5</v>
      </c>
      <c r="P54" s="39" t="s">
        <v>602</v>
      </c>
      <c r="Q54" s="39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27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1">
        <f t="shared" si="10"/>
        <v>90.25</v>
      </c>
      <c r="AE54" s="21">
        <f t="shared" si="25"/>
        <v>0</v>
      </c>
      <c r="AF54" s="21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1307</v>
      </c>
      <c r="AM54" t="s">
        <v>975</v>
      </c>
      <c r="AN54" t="s">
        <v>27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1521</v>
      </c>
    </row>
    <row r="55" spans="1:56" x14ac:dyDescent="0.25">
      <c r="A55" s="25" t="s">
        <v>646</v>
      </c>
      <c r="B55" s="25" t="str">
        <f t="shared" si="11"/>
        <v>F01</v>
      </c>
      <c r="C55" s="25" t="str">
        <f t="shared" si="12"/>
        <v>DN</v>
      </c>
      <c r="D55" s="25" t="str">
        <f t="shared" si="13"/>
        <v>04</v>
      </c>
      <c r="E55" s="25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878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39">
        <f t="shared" si="17"/>
        <v>50</v>
      </c>
      <c r="N55" s="39" t="str">
        <f t="shared" si="18"/>
        <v>IA</v>
      </c>
      <c r="O55" s="39">
        <f t="shared" si="19"/>
        <v>5</v>
      </c>
      <c r="P55" s="39" t="s">
        <v>602</v>
      </c>
      <c r="Q55" s="39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27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1">
        <f t="shared" si="10"/>
        <v>0</v>
      </c>
      <c r="AE55" s="21">
        <f t="shared" si="25"/>
        <v>0</v>
      </c>
      <c r="AF55" s="21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1308</v>
      </c>
      <c r="AM55" t="s">
        <v>976</v>
      </c>
      <c r="AN55" t="s">
        <v>27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1521</v>
      </c>
    </row>
    <row r="56" spans="1:56" x14ac:dyDescent="0.25">
      <c r="A56" s="25" t="s">
        <v>648</v>
      </c>
      <c r="B56" s="25" t="str">
        <f t="shared" si="11"/>
        <v>F01</v>
      </c>
      <c r="C56" s="25" t="str">
        <f t="shared" si="12"/>
        <v>LS</v>
      </c>
      <c r="D56" s="25" t="str">
        <f t="shared" si="13"/>
        <v>02</v>
      </c>
      <c r="E56" s="25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878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39">
        <f t="shared" si="17"/>
        <v>15</v>
      </c>
      <c r="N56" s="39" t="str">
        <f t="shared" si="18"/>
        <v>IA</v>
      </c>
      <c r="O56" s="39">
        <f t="shared" si="19"/>
        <v>5</v>
      </c>
      <c r="P56" s="39" t="s">
        <v>602</v>
      </c>
      <c r="Q56" s="39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27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1">
        <f t="shared" si="10"/>
        <v>0</v>
      </c>
      <c r="AE56" s="21">
        <f t="shared" si="25"/>
        <v>15</v>
      </c>
      <c r="AF56" s="21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1309</v>
      </c>
      <c r="AM56" t="s">
        <v>977</v>
      </c>
      <c r="AN56" t="s">
        <v>27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1523</v>
      </c>
    </row>
    <row r="57" spans="1:56" x14ac:dyDescent="0.25">
      <c r="A57" s="25" t="s">
        <v>649</v>
      </c>
      <c r="B57" s="25" t="str">
        <f t="shared" si="11"/>
        <v>F01</v>
      </c>
      <c r="C57" s="25" t="str">
        <f t="shared" si="12"/>
        <v>LS</v>
      </c>
      <c r="D57" s="25" t="str">
        <f t="shared" si="13"/>
        <v>02</v>
      </c>
      <c r="E57" s="25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878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39">
        <f t="shared" si="17"/>
        <v>20</v>
      </c>
      <c r="N57" s="39" t="str">
        <f t="shared" si="18"/>
        <v>IA</v>
      </c>
      <c r="O57" s="39">
        <f t="shared" si="19"/>
        <v>5</v>
      </c>
      <c r="P57" s="39" t="s">
        <v>602</v>
      </c>
      <c r="Q57" s="39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27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1">
        <f t="shared" si="10"/>
        <v>0</v>
      </c>
      <c r="AE57" s="21">
        <f t="shared" si="25"/>
        <v>20</v>
      </c>
      <c r="AF57" s="21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1310</v>
      </c>
      <c r="AM57" t="s">
        <v>978</v>
      </c>
      <c r="AN57" t="s">
        <v>27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1523</v>
      </c>
    </row>
    <row r="58" spans="1:56" x14ac:dyDescent="0.25">
      <c r="A58" s="25" t="s">
        <v>650</v>
      </c>
      <c r="B58" s="25" t="str">
        <f t="shared" si="11"/>
        <v>F01</v>
      </c>
      <c r="C58" s="25" t="str">
        <f t="shared" si="12"/>
        <v>LS</v>
      </c>
      <c r="D58" s="25" t="str">
        <f t="shared" si="13"/>
        <v>02</v>
      </c>
      <c r="E58" s="25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878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39">
        <f t="shared" si="17"/>
        <v>40</v>
      </c>
      <c r="N58" s="39" t="str">
        <f t="shared" si="18"/>
        <v>IA</v>
      </c>
      <c r="O58" s="39">
        <f t="shared" si="19"/>
        <v>5</v>
      </c>
      <c r="P58" s="39" t="s">
        <v>602</v>
      </c>
      <c r="Q58" s="39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27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1">
        <f t="shared" si="10"/>
        <v>0</v>
      </c>
      <c r="AE58" s="21">
        <f t="shared" si="25"/>
        <v>40</v>
      </c>
      <c r="AF58" s="21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1311</v>
      </c>
      <c r="AM58" t="s">
        <v>979</v>
      </c>
      <c r="AN58" t="s">
        <v>27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1523</v>
      </c>
    </row>
    <row r="59" spans="1:56" x14ac:dyDescent="0.25">
      <c r="A59" s="25" t="s">
        <v>651</v>
      </c>
      <c r="B59" s="25" t="str">
        <f t="shared" si="11"/>
        <v>F01</v>
      </c>
      <c r="C59" s="25" t="str">
        <f t="shared" si="12"/>
        <v>LS</v>
      </c>
      <c r="D59" s="25" t="str">
        <f t="shared" si="13"/>
        <v>02</v>
      </c>
      <c r="E59" s="25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878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39">
        <f t="shared" si="17"/>
        <v>50</v>
      </c>
      <c r="N59" s="39" t="str">
        <f t="shared" si="18"/>
        <v>IA</v>
      </c>
      <c r="O59" s="39">
        <f t="shared" si="19"/>
        <v>5</v>
      </c>
      <c r="P59" s="39" t="s">
        <v>602</v>
      </c>
      <c r="Q59" s="39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27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1">
        <f t="shared" si="10"/>
        <v>0</v>
      </c>
      <c r="AE59" s="21">
        <f t="shared" si="25"/>
        <v>50</v>
      </c>
      <c r="AF59" s="21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1312</v>
      </c>
      <c r="AM59" t="s">
        <v>980</v>
      </c>
      <c r="AN59" t="s">
        <v>27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1523</v>
      </c>
    </row>
    <row r="60" spans="1:56" x14ac:dyDescent="0.25">
      <c r="A60" s="25" t="s">
        <v>652</v>
      </c>
      <c r="B60" s="25" t="str">
        <f t="shared" si="11"/>
        <v>F01</v>
      </c>
      <c r="C60" s="25" t="str">
        <f t="shared" si="12"/>
        <v>LS</v>
      </c>
      <c r="D60" s="25" t="str">
        <f t="shared" si="13"/>
        <v>02</v>
      </c>
      <c r="E60" s="25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878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39">
        <f t="shared" si="17"/>
        <v>100</v>
      </c>
      <c r="N60" s="39" t="str">
        <f t="shared" si="18"/>
        <v>IA</v>
      </c>
      <c r="O60" s="39">
        <f t="shared" si="19"/>
        <v>5</v>
      </c>
      <c r="P60" s="39" t="s">
        <v>602</v>
      </c>
      <c r="Q60" s="39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27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1">
        <f t="shared" si="10"/>
        <v>0</v>
      </c>
      <c r="AE60" s="21">
        <f t="shared" si="25"/>
        <v>100</v>
      </c>
      <c r="AF60" s="21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1313</v>
      </c>
      <c r="AM60" t="s">
        <v>981</v>
      </c>
      <c r="AN60" t="s">
        <v>27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1523</v>
      </c>
    </row>
    <row r="61" spans="1:56" x14ac:dyDescent="0.25">
      <c r="A61" s="25" t="s">
        <v>653</v>
      </c>
      <c r="B61" s="25" t="str">
        <f t="shared" si="11"/>
        <v>F01</v>
      </c>
      <c r="C61" s="25" t="str">
        <f t="shared" si="12"/>
        <v>LS</v>
      </c>
      <c r="D61" s="25" t="str">
        <f t="shared" si="13"/>
        <v>01</v>
      </c>
      <c r="E61" s="25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878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39">
        <f t="shared" si="17"/>
        <v>5</v>
      </c>
      <c r="N61" s="39" t="str">
        <f t="shared" si="18"/>
        <v>IA</v>
      </c>
      <c r="O61" s="39">
        <f t="shared" si="19"/>
        <v>5</v>
      </c>
      <c r="P61" s="39" t="s">
        <v>602</v>
      </c>
      <c r="Q61" s="39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27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1">
        <f t="shared" si="10"/>
        <v>0</v>
      </c>
      <c r="AE61" s="21">
        <f t="shared" si="25"/>
        <v>0</v>
      </c>
      <c r="AF61" s="21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1314</v>
      </c>
      <c r="AM61" t="s">
        <v>982</v>
      </c>
      <c r="AN61" t="s">
        <v>27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1523</v>
      </c>
    </row>
    <row r="62" spans="1:56" x14ac:dyDescent="0.25">
      <c r="A62" s="25" t="s">
        <v>654</v>
      </c>
      <c r="B62" s="25" t="str">
        <f t="shared" si="11"/>
        <v>F01</v>
      </c>
      <c r="C62" s="25" t="str">
        <f t="shared" si="12"/>
        <v>LS</v>
      </c>
      <c r="D62" s="25" t="str">
        <f t="shared" si="13"/>
        <v>01</v>
      </c>
      <c r="E62" s="25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878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39">
        <f t="shared" si="17"/>
        <v>6</v>
      </c>
      <c r="N62" s="39" t="str">
        <f t="shared" si="18"/>
        <v>IA</v>
      </c>
      <c r="O62" s="39">
        <f t="shared" si="19"/>
        <v>5</v>
      </c>
      <c r="P62" s="39" t="s">
        <v>602</v>
      </c>
      <c r="Q62" s="39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27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1">
        <f t="shared" si="10"/>
        <v>1</v>
      </c>
      <c r="AE62" s="21">
        <f t="shared" si="25"/>
        <v>0</v>
      </c>
      <c r="AF62" s="21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1315</v>
      </c>
      <c r="AM62" t="s">
        <v>983</v>
      </c>
      <c r="AN62" t="s">
        <v>27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1523</v>
      </c>
    </row>
    <row r="63" spans="1:56" x14ac:dyDescent="0.25">
      <c r="A63" s="25" t="s">
        <v>655</v>
      </c>
      <c r="B63" s="25" t="str">
        <f t="shared" si="11"/>
        <v>F01</v>
      </c>
      <c r="C63" s="25" t="str">
        <f t="shared" si="12"/>
        <v>LS</v>
      </c>
      <c r="D63" s="25" t="str">
        <f t="shared" si="13"/>
        <v>01</v>
      </c>
      <c r="E63" s="25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878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39">
        <f t="shared" si="17"/>
        <v>10</v>
      </c>
      <c r="N63" s="39" t="str">
        <f t="shared" si="18"/>
        <v>IA</v>
      </c>
      <c r="O63" s="39">
        <f t="shared" si="19"/>
        <v>5</v>
      </c>
      <c r="P63" s="39" t="s">
        <v>602</v>
      </c>
      <c r="Q63" s="39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27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1">
        <f t="shared" si="10"/>
        <v>5</v>
      </c>
      <c r="AE63" s="21">
        <f t="shared" si="25"/>
        <v>0</v>
      </c>
      <c r="AF63" s="21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1316</v>
      </c>
      <c r="AM63" t="s">
        <v>984</v>
      </c>
      <c r="AN63" t="s">
        <v>27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1523</v>
      </c>
    </row>
    <row r="64" spans="1:56" x14ac:dyDescent="0.25">
      <c r="A64" s="25" t="s">
        <v>656</v>
      </c>
      <c r="B64" s="25" t="str">
        <f t="shared" si="11"/>
        <v>F01</v>
      </c>
      <c r="C64" s="25" t="str">
        <f t="shared" si="12"/>
        <v>LS</v>
      </c>
      <c r="D64" s="25" t="str">
        <f t="shared" si="13"/>
        <v>01</v>
      </c>
      <c r="E64" s="25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878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39">
        <f t="shared" si="17"/>
        <v>12</v>
      </c>
      <c r="N64" s="39" t="str">
        <f t="shared" si="18"/>
        <v>IA</v>
      </c>
      <c r="O64" s="39">
        <f t="shared" si="19"/>
        <v>5</v>
      </c>
      <c r="P64" s="39" t="s">
        <v>602</v>
      </c>
      <c r="Q64" s="39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27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1">
        <f t="shared" si="10"/>
        <v>7</v>
      </c>
      <c r="AE64" s="21">
        <f t="shared" si="25"/>
        <v>0</v>
      </c>
      <c r="AF64" s="21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1317</v>
      </c>
      <c r="AM64" t="s">
        <v>985</v>
      </c>
      <c r="AN64" t="s">
        <v>27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1523</v>
      </c>
    </row>
    <row r="65" spans="1:56" x14ac:dyDescent="0.25">
      <c r="A65" s="25" t="s">
        <v>657</v>
      </c>
      <c r="B65" s="25" t="str">
        <f t="shared" si="11"/>
        <v>F01</v>
      </c>
      <c r="C65" s="25" t="str">
        <f t="shared" si="12"/>
        <v>LS</v>
      </c>
      <c r="D65" s="25" t="str">
        <f t="shared" si="13"/>
        <v>01</v>
      </c>
      <c r="E65" s="25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878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39">
        <f t="shared" si="17"/>
        <v>13</v>
      </c>
      <c r="N65" s="39" t="str">
        <f t="shared" si="18"/>
        <v>IA</v>
      </c>
      <c r="O65" s="39">
        <f t="shared" si="19"/>
        <v>5</v>
      </c>
      <c r="P65" s="39" t="s">
        <v>602</v>
      </c>
      <c r="Q65" s="39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27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1">
        <f t="shared" si="10"/>
        <v>8</v>
      </c>
      <c r="AE65" s="21">
        <f t="shared" si="25"/>
        <v>0</v>
      </c>
      <c r="AF65" s="21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1318</v>
      </c>
      <c r="AM65" t="s">
        <v>986</v>
      </c>
      <c r="AN65" t="s">
        <v>27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1523</v>
      </c>
    </row>
    <row r="66" spans="1:56" x14ac:dyDescent="0.25">
      <c r="A66" s="25" t="s">
        <v>658</v>
      </c>
      <c r="B66" s="25" t="str">
        <f t="shared" si="11"/>
        <v>F01</v>
      </c>
      <c r="C66" s="25" t="str">
        <f t="shared" si="12"/>
        <v>LS</v>
      </c>
      <c r="D66" s="25" t="str">
        <f t="shared" si="13"/>
        <v>01</v>
      </c>
      <c r="E66" s="25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878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39">
        <f t="shared" si="17"/>
        <v>15</v>
      </c>
      <c r="N66" s="39" t="str">
        <f t="shared" si="18"/>
        <v>IA</v>
      </c>
      <c r="O66" s="39">
        <f t="shared" si="19"/>
        <v>5</v>
      </c>
      <c r="P66" s="39" t="s">
        <v>602</v>
      </c>
      <c r="Q66" s="39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27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1">
        <f t="shared" si="10"/>
        <v>10</v>
      </c>
      <c r="AE66" s="21">
        <f t="shared" si="25"/>
        <v>0</v>
      </c>
      <c r="AF66" s="21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1319</v>
      </c>
      <c r="AM66" t="s">
        <v>987</v>
      </c>
      <c r="AN66" t="s">
        <v>27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1523</v>
      </c>
    </row>
    <row r="67" spans="1:56" x14ac:dyDescent="0.25">
      <c r="A67" s="25" t="s">
        <v>659</v>
      </c>
      <c r="B67" s="25" t="str">
        <f t="shared" si="11"/>
        <v>F01</v>
      </c>
      <c r="C67" s="25" t="str">
        <f t="shared" si="12"/>
        <v>LS</v>
      </c>
      <c r="D67" s="25" t="str">
        <f t="shared" si="13"/>
        <v>01</v>
      </c>
      <c r="E67" s="25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878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39">
        <f t="shared" si="17"/>
        <v>16</v>
      </c>
      <c r="N67" s="39" t="str">
        <f t="shared" si="18"/>
        <v>IA</v>
      </c>
      <c r="O67" s="39">
        <f t="shared" si="19"/>
        <v>5</v>
      </c>
      <c r="P67" s="39" t="s">
        <v>602</v>
      </c>
      <c r="Q67" s="39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27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1">
        <f t="shared" si="10"/>
        <v>11</v>
      </c>
      <c r="AE67" s="21">
        <f t="shared" si="25"/>
        <v>0</v>
      </c>
      <c r="AF67" s="21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1320</v>
      </c>
      <c r="AM67" t="s">
        <v>988</v>
      </c>
      <c r="AN67" t="s">
        <v>27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1523</v>
      </c>
    </row>
    <row r="68" spans="1:56" x14ac:dyDescent="0.25">
      <c r="A68" s="25" t="s">
        <v>660</v>
      </c>
      <c r="B68" s="25" t="str">
        <f t="shared" si="11"/>
        <v>F01</v>
      </c>
      <c r="C68" s="25" t="str">
        <f t="shared" si="12"/>
        <v>LS</v>
      </c>
      <c r="D68" s="25" t="str">
        <f t="shared" si="13"/>
        <v>01</v>
      </c>
      <c r="E68" s="25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878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39">
        <f t="shared" si="17"/>
        <v>18</v>
      </c>
      <c r="N68" s="39" t="str">
        <f t="shared" si="18"/>
        <v>IA</v>
      </c>
      <c r="O68" s="39">
        <f t="shared" si="19"/>
        <v>5</v>
      </c>
      <c r="P68" s="39" t="s">
        <v>602</v>
      </c>
      <c r="Q68" s="39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27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1">
        <f t="shared" si="10"/>
        <v>13</v>
      </c>
      <c r="AE68" s="21">
        <f t="shared" si="25"/>
        <v>0</v>
      </c>
      <c r="AF68" s="21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1321</v>
      </c>
      <c r="AM68" t="s">
        <v>989</v>
      </c>
      <c r="AN68" t="s">
        <v>27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1523</v>
      </c>
    </row>
    <row r="69" spans="1:56" x14ac:dyDescent="0.25">
      <c r="A69" s="25" t="s">
        <v>661</v>
      </c>
      <c r="B69" s="25" t="str">
        <f t="shared" si="11"/>
        <v>F01</v>
      </c>
      <c r="C69" s="25" t="str">
        <f t="shared" si="12"/>
        <v>LS</v>
      </c>
      <c r="D69" s="25" t="str">
        <f t="shared" si="13"/>
        <v>01</v>
      </c>
      <c r="E69" s="25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878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39">
        <f t="shared" si="17"/>
        <v>20</v>
      </c>
      <c r="N69" s="39" t="str">
        <f t="shared" si="18"/>
        <v>IA</v>
      </c>
      <c r="O69" s="39">
        <f t="shared" si="19"/>
        <v>5</v>
      </c>
      <c r="P69" s="39" t="s">
        <v>602</v>
      </c>
      <c r="Q69" s="39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27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1">
        <f t="shared" si="10"/>
        <v>15</v>
      </c>
      <c r="AE69" s="21">
        <f t="shared" si="25"/>
        <v>0</v>
      </c>
      <c r="AF69" s="21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1322</v>
      </c>
      <c r="AM69" t="s">
        <v>990</v>
      </c>
      <c r="AN69" t="s">
        <v>27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1523</v>
      </c>
    </row>
    <row r="70" spans="1:56" x14ac:dyDescent="0.25">
      <c r="A70" s="25" t="s">
        <v>662</v>
      </c>
      <c r="B70" s="25" t="str">
        <f t="shared" si="11"/>
        <v>F01</v>
      </c>
      <c r="C70" s="25" t="str">
        <f t="shared" si="12"/>
        <v>LS</v>
      </c>
      <c r="D70" s="25" t="str">
        <f t="shared" si="13"/>
        <v>01</v>
      </c>
      <c r="E70" s="25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878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39">
        <f t="shared" si="17"/>
        <v>25</v>
      </c>
      <c r="N70" s="39" t="str">
        <f t="shared" si="18"/>
        <v>IA</v>
      </c>
      <c r="O70" s="39">
        <f t="shared" si="19"/>
        <v>5</v>
      </c>
      <c r="P70" s="39" t="s">
        <v>602</v>
      </c>
      <c r="Q70" s="39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27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1">
        <f t="shared" si="10"/>
        <v>20</v>
      </c>
      <c r="AE70" s="21">
        <f t="shared" si="25"/>
        <v>0</v>
      </c>
      <c r="AF70" s="21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1323</v>
      </c>
      <c r="AM70" t="s">
        <v>991</v>
      </c>
      <c r="AN70" t="s">
        <v>27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1523</v>
      </c>
    </row>
    <row r="71" spans="1:56" x14ac:dyDescent="0.25">
      <c r="A71" s="25" t="s">
        <v>663</v>
      </c>
      <c r="B71" s="25" t="str">
        <f t="shared" si="11"/>
        <v>F01</v>
      </c>
      <c r="C71" s="25" t="str">
        <f t="shared" si="12"/>
        <v>LS</v>
      </c>
      <c r="D71" s="25" t="str">
        <f t="shared" si="13"/>
        <v>01</v>
      </c>
      <c r="E71" s="25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878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39">
        <f t="shared" si="17"/>
        <v>30</v>
      </c>
      <c r="N71" s="39" t="str">
        <f t="shared" si="18"/>
        <v>IA</v>
      </c>
      <c r="O71" s="39">
        <f t="shared" si="19"/>
        <v>5</v>
      </c>
      <c r="P71" s="39" t="s">
        <v>602</v>
      </c>
      <c r="Q71" s="39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27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1">
        <f t="shared" si="10"/>
        <v>25</v>
      </c>
      <c r="AE71" s="21">
        <f t="shared" si="25"/>
        <v>0</v>
      </c>
      <c r="AF71" s="21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1324</v>
      </c>
      <c r="AM71" t="s">
        <v>992</v>
      </c>
      <c r="AN71" t="s">
        <v>27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1523</v>
      </c>
    </row>
    <row r="72" spans="1:56" x14ac:dyDescent="0.25">
      <c r="A72" s="25" t="s">
        <v>664</v>
      </c>
      <c r="B72" s="25" t="str">
        <f t="shared" si="11"/>
        <v>F01</v>
      </c>
      <c r="C72" s="25" t="str">
        <f t="shared" si="12"/>
        <v>LS</v>
      </c>
      <c r="D72" s="25" t="str">
        <f t="shared" si="13"/>
        <v>01</v>
      </c>
      <c r="E72" s="25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878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39">
        <f t="shared" si="17"/>
        <v>50</v>
      </c>
      <c r="N72" s="39" t="str">
        <f t="shared" si="18"/>
        <v>IA</v>
      </c>
      <c r="O72" s="39">
        <f t="shared" si="19"/>
        <v>5</v>
      </c>
      <c r="P72" s="39" t="s">
        <v>602</v>
      </c>
      <c r="Q72" s="39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27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1">
        <f t="shared" si="10"/>
        <v>45</v>
      </c>
      <c r="AE72" s="21">
        <f t="shared" si="25"/>
        <v>0</v>
      </c>
      <c r="AF72" s="21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1325</v>
      </c>
      <c r="AM72" t="s">
        <v>993</v>
      </c>
      <c r="AN72" t="s">
        <v>27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1523</v>
      </c>
    </row>
    <row r="73" spans="1:56" x14ac:dyDescent="0.25">
      <c r="A73" s="25" t="s">
        <v>665</v>
      </c>
      <c r="B73" s="25" t="str">
        <f t="shared" si="11"/>
        <v>F01</v>
      </c>
      <c r="C73" s="25" t="str">
        <f t="shared" si="12"/>
        <v>LS</v>
      </c>
      <c r="D73" s="25" t="str">
        <f t="shared" si="13"/>
        <v>01</v>
      </c>
      <c r="E73" s="25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878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39">
        <f t="shared" si="17"/>
        <v>100</v>
      </c>
      <c r="N73" s="39" t="str">
        <f t="shared" si="18"/>
        <v>IA</v>
      </c>
      <c r="O73" s="39">
        <f t="shared" si="19"/>
        <v>5</v>
      </c>
      <c r="P73" s="39" t="s">
        <v>602</v>
      </c>
      <c r="Q73" s="39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27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1">
        <f t="shared" si="10"/>
        <v>95</v>
      </c>
      <c r="AE73" s="21">
        <f t="shared" si="25"/>
        <v>0</v>
      </c>
      <c r="AF73" s="21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1326</v>
      </c>
      <c r="AM73" t="s">
        <v>994</v>
      </c>
      <c r="AN73" t="s">
        <v>27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1523</v>
      </c>
    </row>
    <row r="74" spans="1:56" x14ac:dyDescent="0.25">
      <c r="A74" s="25" t="s">
        <v>666</v>
      </c>
      <c r="B74" s="25" t="str">
        <f t="shared" si="11"/>
        <v>F01</v>
      </c>
      <c r="C74" s="25" t="str">
        <f t="shared" si="12"/>
        <v>LS</v>
      </c>
      <c r="D74" s="25" t="str">
        <f t="shared" si="13"/>
        <v>04</v>
      </c>
      <c r="E74" s="25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878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39">
        <f t="shared" si="17"/>
        <v>50</v>
      </c>
      <c r="N74" s="39" t="str">
        <f t="shared" si="18"/>
        <v>IA</v>
      </c>
      <c r="O74" s="39">
        <f t="shared" si="19"/>
        <v>5</v>
      </c>
      <c r="P74" s="39" t="s">
        <v>602</v>
      </c>
      <c r="Q74" s="39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27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1">
        <f t="shared" si="10"/>
        <v>0</v>
      </c>
      <c r="AE74" s="21">
        <f t="shared" si="25"/>
        <v>0</v>
      </c>
      <c r="AF74" s="21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1327</v>
      </c>
      <c r="AM74" t="s">
        <v>995</v>
      </c>
      <c r="AN74" t="s">
        <v>27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1523</v>
      </c>
    </row>
    <row r="75" spans="1:56" x14ac:dyDescent="0.25">
      <c r="A75" s="25" t="s">
        <v>667</v>
      </c>
      <c r="B75" s="25" t="str">
        <f t="shared" si="11"/>
        <v>F01</v>
      </c>
      <c r="C75" s="25" t="str">
        <f t="shared" si="12"/>
        <v>LT</v>
      </c>
      <c r="D75" s="25" t="str">
        <f t="shared" si="13"/>
        <v>01</v>
      </c>
      <c r="E75" s="25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878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39">
        <f t="shared" si="17"/>
        <v>2.5</v>
      </c>
      <c r="N75" s="39" t="str">
        <f t="shared" si="18"/>
        <v>IA</v>
      </c>
      <c r="O75" s="39">
        <f t="shared" si="19"/>
        <v>5</v>
      </c>
      <c r="P75" s="39" t="s">
        <v>602</v>
      </c>
      <c r="Q75" s="39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27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1">
        <f t="shared" si="10"/>
        <v>0</v>
      </c>
      <c r="AE75" s="21">
        <f t="shared" si="25"/>
        <v>0</v>
      </c>
      <c r="AF75" s="21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1328</v>
      </c>
      <c r="AM75" t="s">
        <v>996</v>
      </c>
      <c r="AN75" t="s">
        <v>27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1524</v>
      </c>
    </row>
    <row r="76" spans="1:56" x14ac:dyDescent="0.25">
      <c r="A76" s="25" t="s">
        <v>668</v>
      </c>
      <c r="B76" s="25" t="str">
        <f t="shared" si="11"/>
        <v>F01</v>
      </c>
      <c r="C76" s="25" t="str">
        <f t="shared" si="12"/>
        <v>LT</v>
      </c>
      <c r="D76" s="25" t="str">
        <f t="shared" si="13"/>
        <v>01</v>
      </c>
      <c r="E76" s="25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878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39">
        <f t="shared" si="17"/>
        <v>7</v>
      </c>
      <c r="N76" s="39" t="str">
        <f t="shared" si="18"/>
        <v>IA</v>
      </c>
      <c r="O76" s="39">
        <f t="shared" si="19"/>
        <v>5</v>
      </c>
      <c r="P76" s="39" t="s">
        <v>602</v>
      </c>
      <c r="Q76" s="39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27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1">
        <f t="shared" si="10"/>
        <v>2</v>
      </c>
      <c r="AE76" s="21">
        <f t="shared" si="25"/>
        <v>0</v>
      </c>
      <c r="AF76" s="21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1329</v>
      </c>
      <c r="AM76" t="s">
        <v>997</v>
      </c>
      <c r="AN76" t="s">
        <v>27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1523</v>
      </c>
    </row>
    <row r="77" spans="1:56" x14ac:dyDescent="0.25">
      <c r="A77" s="25" t="s">
        <v>669</v>
      </c>
      <c r="B77" s="25" t="str">
        <f t="shared" si="11"/>
        <v>F01</v>
      </c>
      <c r="C77" s="25" t="str">
        <f t="shared" si="12"/>
        <v>LT</v>
      </c>
      <c r="D77" s="25" t="str">
        <f t="shared" si="13"/>
        <v>01</v>
      </c>
      <c r="E77" s="25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878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39">
        <f t="shared" si="17"/>
        <v>10</v>
      </c>
      <c r="N77" s="39" t="str">
        <f t="shared" si="18"/>
        <v>IA</v>
      </c>
      <c r="O77" s="39">
        <f t="shared" si="19"/>
        <v>5</v>
      </c>
      <c r="P77" s="39" t="s">
        <v>602</v>
      </c>
      <c r="Q77" s="39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27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1">
        <f t="shared" si="10"/>
        <v>5</v>
      </c>
      <c r="AE77" s="21">
        <f t="shared" si="25"/>
        <v>0</v>
      </c>
      <c r="AF77" s="21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1330</v>
      </c>
      <c r="AM77" t="s">
        <v>998</v>
      </c>
      <c r="AN77" t="s">
        <v>27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1523</v>
      </c>
    </row>
    <row r="78" spans="1:56" x14ac:dyDescent="0.25">
      <c r="A78" s="25" t="s">
        <v>670</v>
      </c>
      <c r="B78" s="25" t="str">
        <f t="shared" si="11"/>
        <v>F01</v>
      </c>
      <c r="C78" s="25" t="str">
        <f t="shared" si="12"/>
        <v>LT</v>
      </c>
      <c r="D78" s="25" t="str">
        <f t="shared" si="13"/>
        <v>01</v>
      </c>
      <c r="E78" s="25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878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39">
        <f t="shared" si="17"/>
        <v>15</v>
      </c>
      <c r="N78" s="39" t="str">
        <f t="shared" si="18"/>
        <v>IA</v>
      </c>
      <c r="O78" s="39">
        <f t="shared" si="19"/>
        <v>5</v>
      </c>
      <c r="P78" s="39" t="s">
        <v>602</v>
      </c>
      <c r="Q78" s="39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27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1">
        <f t="shared" si="10"/>
        <v>10</v>
      </c>
      <c r="AE78" s="21">
        <f t="shared" si="25"/>
        <v>0</v>
      </c>
      <c r="AF78" s="21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1331</v>
      </c>
      <c r="AM78" t="s">
        <v>999</v>
      </c>
      <c r="AN78" t="s">
        <v>27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1523</v>
      </c>
    </row>
    <row r="79" spans="1:56" x14ac:dyDescent="0.25">
      <c r="A79" s="25" t="s">
        <v>671</v>
      </c>
      <c r="B79" s="25" t="str">
        <f t="shared" si="11"/>
        <v>F01</v>
      </c>
      <c r="C79" s="25" t="str">
        <f t="shared" si="12"/>
        <v>LT</v>
      </c>
      <c r="D79" s="25" t="str">
        <f t="shared" si="13"/>
        <v>01</v>
      </c>
      <c r="E79" s="25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878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39">
        <f t="shared" si="17"/>
        <v>16</v>
      </c>
      <c r="N79" s="39" t="str">
        <f t="shared" si="18"/>
        <v>IA</v>
      </c>
      <c r="O79" s="39">
        <f t="shared" si="19"/>
        <v>5</v>
      </c>
      <c r="P79" s="39" t="s">
        <v>602</v>
      </c>
      <c r="Q79" s="39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27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1">
        <f t="shared" si="10"/>
        <v>11</v>
      </c>
      <c r="AE79" s="21">
        <f t="shared" si="25"/>
        <v>0</v>
      </c>
      <c r="AF79" s="21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1332</v>
      </c>
      <c r="AM79" t="s">
        <v>1000</v>
      </c>
      <c r="AN79" t="s">
        <v>27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1523</v>
      </c>
    </row>
    <row r="80" spans="1:56" x14ac:dyDescent="0.25">
      <c r="A80" s="25" t="s">
        <v>672</v>
      </c>
      <c r="B80" s="25" t="str">
        <f t="shared" si="11"/>
        <v>F01</v>
      </c>
      <c r="C80" s="25" t="str">
        <f t="shared" si="12"/>
        <v>LT</v>
      </c>
      <c r="D80" s="25" t="str">
        <f t="shared" si="13"/>
        <v>01</v>
      </c>
      <c r="E80" s="25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878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39">
        <f t="shared" si="17"/>
        <v>18</v>
      </c>
      <c r="N80" s="39" t="str">
        <f t="shared" si="18"/>
        <v>IA</v>
      </c>
      <c r="O80" s="39">
        <f t="shared" si="19"/>
        <v>5</v>
      </c>
      <c r="P80" s="39" t="s">
        <v>602</v>
      </c>
      <c r="Q80" s="39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27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1">
        <f t="shared" si="10"/>
        <v>13</v>
      </c>
      <c r="AE80" s="21">
        <f t="shared" si="25"/>
        <v>0</v>
      </c>
      <c r="AF80" s="21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1333</v>
      </c>
      <c r="AM80" t="s">
        <v>1001</v>
      </c>
      <c r="AN80" t="s">
        <v>27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1523</v>
      </c>
    </row>
    <row r="81" spans="1:56" x14ac:dyDescent="0.25">
      <c r="A81" s="25" t="s">
        <v>673</v>
      </c>
      <c r="B81" s="25" t="str">
        <f t="shared" si="11"/>
        <v>F01</v>
      </c>
      <c r="C81" s="25" t="str">
        <f t="shared" si="12"/>
        <v>LT</v>
      </c>
      <c r="D81" s="25" t="str">
        <f t="shared" si="13"/>
        <v>01</v>
      </c>
      <c r="E81" s="25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878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39">
        <f t="shared" si="17"/>
        <v>30</v>
      </c>
      <c r="N81" s="39" t="str">
        <f t="shared" si="18"/>
        <v>IA</v>
      </c>
      <c r="O81" s="39">
        <f t="shared" si="19"/>
        <v>5</v>
      </c>
      <c r="P81" s="39" t="s">
        <v>602</v>
      </c>
      <c r="Q81" s="39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27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1">
        <f t="shared" si="10"/>
        <v>25</v>
      </c>
      <c r="AE81" s="21">
        <f t="shared" si="25"/>
        <v>0</v>
      </c>
      <c r="AF81" s="21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1334</v>
      </c>
      <c r="AM81" t="s">
        <v>1002</v>
      </c>
      <c r="AN81" t="s">
        <v>27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1523</v>
      </c>
    </row>
    <row r="82" spans="1:56" x14ac:dyDescent="0.25">
      <c r="A82" s="25" t="s">
        <v>674</v>
      </c>
      <c r="B82" s="25" t="str">
        <f t="shared" si="11"/>
        <v>F01</v>
      </c>
      <c r="C82" s="25" t="str">
        <f t="shared" si="12"/>
        <v>LT</v>
      </c>
      <c r="D82" s="25" t="str">
        <f t="shared" si="13"/>
        <v>01</v>
      </c>
      <c r="E82" s="25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878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39">
        <f t="shared" si="17"/>
        <v>50</v>
      </c>
      <c r="N82" s="39" t="str">
        <f t="shared" si="18"/>
        <v>IA</v>
      </c>
      <c r="O82" s="39">
        <f t="shared" si="19"/>
        <v>5</v>
      </c>
      <c r="P82" s="39" t="s">
        <v>602</v>
      </c>
      <c r="Q82" s="39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27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1">
        <f t="shared" si="10"/>
        <v>45</v>
      </c>
      <c r="AE82" s="21">
        <f t="shared" si="25"/>
        <v>0</v>
      </c>
      <c r="AF82" s="21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1335</v>
      </c>
      <c r="AM82" t="s">
        <v>1003</v>
      </c>
      <c r="AN82" t="s">
        <v>27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1523</v>
      </c>
    </row>
    <row r="83" spans="1:56" x14ac:dyDescent="0.25">
      <c r="A83" s="25" t="s">
        <v>675</v>
      </c>
      <c r="B83" s="25" t="str">
        <f t="shared" si="11"/>
        <v>F01</v>
      </c>
      <c r="C83" s="25" t="str">
        <f t="shared" si="12"/>
        <v>T0</v>
      </c>
      <c r="D83" s="25" t="str">
        <f t="shared" si="13"/>
        <v>02</v>
      </c>
      <c r="E83" s="25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878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39">
        <f t="shared" si="17"/>
        <v>15</v>
      </c>
      <c r="N83" s="39" t="str">
        <f t="shared" si="18"/>
        <v>IA</v>
      </c>
      <c r="O83" s="39">
        <f t="shared" si="19"/>
        <v>5</v>
      </c>
      <c r="P83" s="39" t="s">
        <v>602</v>
      </c>
      <c r="Q83" s="39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27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1">
        <f t="shared" si="10"/>
        <v>0</v>
      </c>
      <c r="AE83" s="21">
        <f t="shared" si="25"/>
        <v>15</v>
      </c>
      <c r="AF83" s="21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1336</v>
      </c>
      <c r="AM83" t="s">
        <v>1004</v>
      </c>
      <c r="AN83" t="s">
        <v>27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1525</v>
      </c>
    </row>
    <row r="84" spans="1:56" x14ac:dyDescent="0.25">
      <c r="A84" s="25" t="s">
        <v>676</v>
      </c>
      <c r="B84" s="25" t="str">
        <f t="shared" si="11"/>
        <v>F01</v>
      </c>
      <c r="C84" s="25" t="str">
        <f t="shared" si="12"/>
        <v>T0</v>
      </c>
      <c r="D84" s="25" t="str">
        <f t="shared" si="13"/>
        <v>02</v>
      </c>
      <c r="E84" s="25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878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39">
        <f t="shared" si="17"/>
        <v>20</v>
      </c>
      <c r="N84" s="39" t="str">
        <f t="shared" si="18"/>
        <v>IA</v>
      </c>
      <c r="O84" s="39">
        <f t="shared" si="19"/>
        <v>5</v>
      </c>
      <c r="P84" s="39" t="s">
        <v>602</v>
      </c>
      <c r="Q84" s="39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27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1">
        <f t="shared" si="10"/>
        <v>0</v>
      </c>
      <c r="AE84" s="21">
        <f t="shared" si="25"/>
        <v>20</v>
      </c>
      <c r="AF84" s="21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1337</v>
      </c>
      <c r="AM84" t="s">
        <v>1005</v>
      </c>
      <c r="AN84" t="s">
        <v>27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1525</v>
      </c>
    </row>
    <row r="85" spans="1:56" x14ac:dyDescent="0.25">
      <c r="A85" s="25" t="s">
        <v>677</v>
      </c>
      <c r="B85" s="25" t="str">
        <f t="shared" si="11"/>
        <v>F01</v>
      </c>
      <c r="C85" s="25" t="str">
        <f t="shared" si="12"/>
        <v>T0</v>
      </c>
      <c r="D85" s="25" t="str">
        <f t="shared" si="13"/>
        <v>02</v>
      </c>
      <c r="E85" s="25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878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39">
        <f t="shared" si="17"/>
        <v>40</v>
      </c>
      <c r="N85" s="39" t="str">
        <f t="shared" si="18"/>
        <v>IA</v>
      </c>
      <c r="O85" s="39">
        <f t="shared" si="19"/>
        <v>5</v>
      </c>
      <c r="P85" s="39" t="s">
        <v>602</v>
      </c>
      <c r="Q85" s="39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27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1">
        <f t="shared" si="10"/>
        <v>0</v>
      </c>
      <c r="AE85" s="21">
        <f t="shared" si="25"/>
        <v>40</v>
      </c>
      <c r="AF85" s="21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1338</v>
      </c>
      <c r="AM85" t="s">
        <v>1006</v>
      </c>
      <c r="AN85" t="s">
        <v>27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1525</v>
      </c>
    </row>
    <row r="86" spans="1:56" x14ac:dyDescent="0.25">
      <c r="A86" s="25" t="s">
        <v>678</v>
      </c>
      <c r="B86" s="25" t="str">
        <f t="shared" si="11"/>
        <v>F01</v>
      </c>
      <c r="C86" s="25" t="str">
        <f t="shared" si="12"/>
        <v>T0</v>
      </c>
      <c r="D86" s="25" t="str">
        <f t="shared" si="13"/>
        <v>02</v>
      </c>
      <c r="E86" s="25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878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39">
        <f t="shared" si="17"/>
        <v>100</v>
      </c>
      <c r="N86" s="39" t="str">
        <f t="shared" si="18"/>
        <v>IA</v>
      </c>
      <c r="O86" s="39">
        <f t="shared" si="19"/>
        <v>5</v>
      </c>
      <c r="P86" s="39" t="s">
        <v>602</v>
      </c>
      <c r="Q86" s="39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27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1">
        <f t="shared" si="10"/>
        <v>0</v>
      </c>
      <c r="AE86" s="21">
        <f t="shared" si="25"/>
        <v>100</v>
      </c>
      <c r="AF86" s="21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1339</v>
      </c>
      <c r="AM86" t="s">
        <v>1007</v>
      </c>
      <c r="AN86" t="s">
        <v>27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1525</v>
      </c>
    </row>
    <row r="87" spans="1:56" x14ac:dyDescent="0.25">
      <c r="A87" s="25" t="s">
        <v>679</v>
      </c>
      <c r="B87" s="25" t="str">
        <f t="shared" si="11"/>
        <v>F01</v>
      </c>
      <c r="C87" s="25" t="str">
        <f t="shared" si="12"/>
        <v>T0</v>
      </c>
      <c r="D87" s="25" t="str">
        <f t="shared" si="13"/>
        <v>01</v>
      </c>
      <c r="E87" s="25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878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39">
        <f t="shared" si="17"/>
        <v>5</v>
      </c>
      <c r="N87" s="39" t="str">
        <f t="shared" si="18"/>
        <v>IA</v>
      </c>
      <c r="O87" s="39">
        <f t="shared" si="19"/>
        <v>5</v>
      </c>
      <c r="P87" s="39" t="s">
        <v>602</v>
      </c>
      <c r="Q87" s="39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27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1">
        <f t="shared" si="10"/>
        <v>0</v>
      </c>
      <c r="AE87" s="21">
        <f t="shared" si="25"/>
        <v>0</v>
      </c>
      <c r="AF87" s="21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1340</v>
      </c>
      <c r="AM87" t="s">
        <v>1008</v>
      </c>
      <c r="AN87" t="s">
        <v>27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1525</v>
      </c>
    </row>
    <row r="88" spans="1:56" x14ac:dyDescent="0.25">
      <c r="A88" s="25" t="s">
        <v>680</v>
      </c>
      <c r="B88" s="25" t="str">
        <f t="shared" si="11"/>
        <v>F01</v>
      </c>
      <c r="C88" s="25" t="str">
        <f t="shared" si="12"/>
        <v>T0</v>
      </c>
      <c r="D88" s="25" t="str">
        <f t="shared" si="13"/>
        <v>01</v>
      </c>
      <c r="E88" s="25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878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39">
        <f t="shared" si="17"/>
        <v>6</v>
      </c>
      <c r="N88" s="39" t="str">
        <f t="shared" si="18"/>
        <v>IA</v>
      </c>
      <c r="O88" s="39">
        <f t="shared" si="19"/>
        <v>5</v>
      </c>
      <c r="P88" s="39" t="s">
        <v>602</v>
      </c>
      <c r="Q88" s="39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27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1">
        <f t="shared" si="10"/>
        <v>1</v>
      </c>
      <c r="AE88" s="21">
        <f t="shared" si="25"/>
        <v>0</v>
      </c>
      <c r="AF88" s="21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1341</v>
      </c>
      <c r="AM88" t="s">
        <v>1009</v>
      </c>
      <c r="AN88" t="s">
        <v>27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1525</v>
      </c>
    </row>
    <row r="89" spans="1:56" x14ac:dyDescent="0.25">
      <c r="A89" s="25" t="s">
        <v>681</v>
      </c>
      <c r="B89" s="25" t="str">
        <f t="shared" si="11"/>
        <v>F01</v>
      </c>
      <c r="C89" s="25" t="str">
        <f t="shared" si="12"/>
        <v>T0</v>
      </c>
      <c r="D89" s="25" t="str">
        <f t="shared" si="13"/>
        <v>01</v>
      </c>
      <c r="E89" s="25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878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39">
        <f t="shared" si="17"/>
        <v>7</v>
      </c>
      <c r="N89" s="39" t="str">
        <f t="shared" si="18"/>
        <v>IA</v>
      </c>
      <c r="O89" s="39">
        <f t="shared" si="19"/>
        <v>5</v>
      </c>
      <c r="P89" s="39" t="s">
        <v>602</v>
      </c>
      <c r="Q89" s="39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27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1">
        <f t="shared" ref="AD89:AD152" si="36">U89/1000000*IF(G89="IA",IF(N89="IA",MAX(M89-O89,0),M89),0)</f>
        <v>2</v>
      </c>
      <c r="AE89" s="21">
        <f t="shared" si="25"/>
        <v>0</v>
      </c>
      <c r="AF89" s="21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1342</v>
      </c>
      <c r="AM89" t="s">
        <v>1010</v>
      </c>
      <c r="AN89" t="s">
        <v>27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1525</v>
      </c>
    </row>
    <row r="90" spans="1:56" x14ac:dyDescent="0.25">
      <c r="A90" s="25" t="s">
        <v>682</v>
      </c>
      <c r="B90" s="25" t="str">
        <f t="shared" ref="B90:B153" si="37">RIGHT(LEFT(A90,3),3)</f>
        <v>F01</v>
      </c>
      <c r="C90" s="25" t="str">
        <f t="shared" ref="C90:C153" si="38">RIGHT(LEFT(A90,5),2)</f>
        <v>T0</v>
      </c>
      <c r="D90" s="25" t="str">
        <f t="shared" ref="D90:D153" si="39">RIGHT(LEFT(A90,7),2)</f>
        <v>01</v>
      </c>
      <c r="E90" s="25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878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39">
        <f t="shared" ref="M90:M153" si="43">_xlfn.NUMBERVALUE(K90&amp;"."&amp;L90,".")</f>
        <v>10</v>
      </c>
      <c r="N90" s="39" t="str">
        <f t="shared" ref="N90:N153" si="44">VLOOKUP(F90,$C$2:$E$11,2,FALSE)</f>
        <v>IA</v>
      </c>
      <c r="O90" s="39">
        <f t="shared" ref="O90:O153" si="45">VLOOKUP(F90,$C$2:$E$11,3,FALSE)</f>
        <v>5</v>
      </c>
      <c r="P90" s="39" t="s">
        <v>602</v>
      </c>
      <c r="Q90" s="39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27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1">
        <f t="shared" si="36"/>
        <v>5</v>
      </c>
      <c r="AE90" s="21">
        <f t="shared" ref="AE90:AE153" si="50">U90/1000000*IF(G90="MEHQ",IF(N90="MEHQ",MAX(M90-O90,0),M90),0)</f>
        <v>0</v>
      </c>
      <c r="AF90" s="21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1343</v>
      </c>
      <c r="AM90" t="s">
        <v>1011</v>
      </c>
      <c r="AN90" t="s">
        <v>27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1525</v>
      </c>
    </row>
    <row r="91" spans="1:56" x14ac:dyDescent="0.25">
      <c r="A91" s="25" t="s">
        <v>683</v>
      </c>
      <c r="B91" s="25" t="str">
        <f t="shared" si="37"/>
        <v>F01</v>
      </c>
      <c r="C91" s="25" t="str">
        <f t="shared" si="38"/>
        <v>T0</v>
      </c>
      <c r="D91" s="25" t="str">
        <f t="shared" si="39"/>
        <v>01</v>
      </c>
      <c r="E91" s="25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878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39">
        <f t="shared" si="43"/>
        <v>12</v>
      </c>
      <c r="N91" s="39" t="str">
        <f t="shared" si="44"/>
        <v>IA</v>
      </c>
      <c r="O91" s="39">
        <f t="shared" si="45"/>
        <v>5</v>
      </c>
      <c r="P91" s="39" t="s">
        <v>602</v>
      </c>
      <c r="Q91" s="39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27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1">
        <f t="shared" si="36"/>
        <v>7</v>
      </c>
      <c r="AE91" s="21">
        <f t="shared" si="50"/>
        <v>0</v>
      </c>
      <c r="AF91" s="21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1344</v>
      </c>
      <c r="AM91" t="s">
        <v>1012</v>
      </c>
      <c r="AN91" t="s">
        <v>27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1525</v>
      </c>
    </row>
    <row r="92" spans="1:56" x14ac:dyDescent="0.25">
      <c r="A92" s="25" t="s">
        <v>684</v>
      </c>
      <c r="B92" s="25" t="str">
        <f t="shared" si="37"/>
        <v>F01</v>
      </c>
      <c r="C92" s="25" t="str">
        <f t="shared" si="38"/>
        <v>T0</v>
      </c>
      <c r="D92" s="25" t="str">
        <f t="shared" si="39"/>
        <v>01</v>
      </c>
      <c r="E92" s="25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878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39">
        <f t="shared" si="43"/>
        <v>13</v>
      </c>
      <c r="N92" s="39" t="str">
        <f t="shared" si="44"/>
        <v>IA</v>
      </c>
      <c r="O92" s="39">
        <f t="shared" si="45"/>
        <v>5</v>
      </c>
      <c r="P92" s="39" t="s">
        <v>602</v>
      </c>
      <c r="Q92" s="39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27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1">
        <f t="shared" si="36"/>
        <v>8</v>
      </c>
      <c r="AE92" s="21">
        <f t="shared" si="50"/>
        <v>0</v>
      </c>
      <c r="AF92" s="21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1345</v>
      </c>
      <c r="AM92" t="s">
        <v>1013</v>
      </c>
      <c r="AN92" t="s">
        <v>27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1525</v>
      </c>
    </row>
    <row r="93" spans="1:56" x14ac:dyDescent="0.25">
      <c r="A93" s="25" t="s">
        <v>685</v>
      </c>
      <c r="B93" s="25" t="str">
        <f t="shared" si="37"/>
        <v>F01</v>
      </c>
      <c r="C93" s="25" t="str">
        <f t="shared" si="38"/>
        <v>T0</v>
      </c>
      <c r="D93" s="25" t="str">
        <f t="shared" si="39"/>
        <v>01</v>
      </c>
      <c r="E93" s="25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878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39">
        <f t="shared" si="43"/>
        <v>15</v>
      </c>
      <c r="N93" s="39" t="str">
        <f t="shared" si="44"/>
        <v>IA</v>
      </c>
      <c r="O93" s="39">
        <f t="shared" si="45"/>
        <v>5</v>
      </c>
      <c r="P93" s="39" t="s">
        <v>602</v>
      </c>
      <c r="Q93" s="39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27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1">
        <f t="shared" si="36"/>
        <v>10</v>
      </c>
      <c r="AE93" s="21">
        <f t="shared" si="50"/>
        <v>0</v>
      </c>
      <c r="AF93" s="21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1346</v>
      </c>
      <c r="AM93" t="s">
        <v>1014</v>
      </c>
      <c r="AN93" t="s">
        <v>27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1525</v>
      </c>
    </row>
    <row r="94" spans="1:56" x14ac:dyDescent="0.25">
      <c r="A94" s="25" t="s">
        <v>686</v>
      </c>
      <c r="B94" s="25" t="str">
        <f t="shared" si="37"/>
        <v>F01</v>
      </c>
      <c r="C94" s="25" t="str">
        <f t="shared" si="38"/>
        <v>T0</v>
      </c>
      <c r="D94" s="25" t="str">
        <f t="shared" si="39"/>
        <v>01</v>
      </c>
      <c r="E94" s="25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878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39">
        <f t="shared" si="43"/>
        <v>20</v>
      </c>
      <c r="N94" s="39" t="str">
        <f t="shared" si="44"/>
        <v>IA</v>
      </c>
      <c r="O94" s="39">
        <f t="shared" si="45"/>
        <v>5</v>
      </c>
      <c r="P94" s="39" t="s">
        <v>602</v>
      </c>
      <c r="Q94" s="39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27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1">
        <f t="shared" si="36"/>
        <v>15</v>
      </c>
      <c r="AE94" s="21">
        <f t="shared" si="50"/>
        <v>0</v>
      </c>
      <c r="AF94" s="21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1347</v>
      </c>
      <c r="AM94" t="s">
        <v>1015</v>
      </c>
      <c r="AN94" t="s">
        <v>27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1525</v>
      </c>
    </row>
    <row r="95" spans="1:56" x14ac:dyDescent="0.25">
      <c r="A95" s="25" t="s">
        <v>687</v>
      </c>
      <c r="B95" s="25" t="str">
        <f t="shared" si="37"/>
        <v>F01</v>
      </c>
      <c r="C95" s="25" t="str">
        <f t="shared" si="38"/>
        <v>T0</v>
      </c>
      <c r="D95" s="25" t="str">
        <f t="shared" si="39"/>
        <v>01</v>
      </c>
      <c r="E95" s="25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878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39">
        <f t="shared" si="43"/>
        <v>30</v>
      </c>
      <c r="N95" s="39" t="str">
        <f t="shared" si="44"/>
        <v>IA</v>
      </c>
      <c r="O95" s="39">
        <f t="shared" si="45"/>
        <v>5</v>
      </c>
      <c r="P95" s="39" t="s">
        <v>602</v>
      </c>
      <c r="Q95" s="39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27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1">
        <f t="shared" si="36"/>
        <v>25</v>
      </c>
      <c r="AE95" s="21">
        <f t="shared" si="50"/>
        <v>0</v>
      </c>
      <c r="AF95" s="21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1348</v>
      </c>
      <c r="AM95" t="s">
        <v>1016</v>
      </c>
      <c r="AN95" t="s">
        <v>27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1525</v>
      </c>
    </row>
    <row r="96" spans="1:56" x14ac:dyDescent="0.25">
      <c r="A96" s="25" t="s">
        <v>688</v>
      </c>
      <c r="B96" s="25" t="str">
        <f t="shared" si="37"/>
        <v>F01</v>
      </c>
      <c r="C96" s="25" t="str">
        <f t="shared" si="38"/>
        <v>T0</v>
      </c>
      <c r="D96" s="25" t="str">
        <f t="shared" si="39"/>
        <v>01</v>
      </c>
      <c r="E96" s="25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878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39">
        <f t="shared" si="43"/>
        <v>50</v>
      </c>
      <c r="N96" s="39" t="str">
        <f t="shared" si="44"/>
        <v>IA</v>
      </c>
      <c r="O96" s="39">
        <f t="shared" si="45"/>
        <v>5</v>
      </c>
      <c r="P96" s="39" t="s">
        <v>602</v>
      </c>
      <c r="Q96" s="39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27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1">
        <f t="shared" si="36"/>
        <v>45</v>
      </c>
      <c r="AE96" s="21">
        <f t="shared" si="50"/>
        <v>0</v>
      </c>
      <c r="AF96" s="21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1349</v>
      </c>
      <c r="AM96" t="s">
        <v>1017</v>
      </c>
      <c r="AN96" t="s">
        <v>27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1525</v>
      </c>
    </row>
    <row r="97" spans="1:56" x14ac:dyDescent="0.25">
      <c r="A97" s="25" t="s">
        <v>689</v>
      </c>
      <c r="B97" s="25" t="str">
        <f t="shared" si="37"/>
        <v>F01</v>
      </c>
      <c r="C97" s="25" t="str">
        <f t="shared" si="38"/>
        <v>T0</v>
      </c>
      <c r="D97" s="25" t="str">
        <f t="shared" si="39"/>
        <v>04</v>
      </c>
      <c r="E97" s="25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878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39">
        <f t="shared" si="43"/>
        <v>25</v>
      </c>
      <c r="N97" s="39" t="str">
        <f t="shared" si="44"/>
        <v>IA</v>
      </c>
      <c r="O97" s="39">
        <f t="shared" si="45"/>
        <v>5</v>
      </c>
      <c r="P97" s="39" t="s">
        <v>602</v>
      </c>
      <c r="Q97" s="39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27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1">
        <f t="shared" si="36"/>
        <v>0</v>
      </c>
      <c r="AE97" s="21">
        <f t="shared" si="50"/>
        <v>0</v>
      </c>
      <c r="AF97" s="21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1350</v>
      </c>
      <c r="AM97" t="s">
        <v>1018</v>
      </c>
      <c r="AN97" t="s">
        <v>27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1525</v>
      </c>
    </row>
    <row r="98" spans="1:56" x14ac:dyDescent="0.25">
      <c r="A98" s="25" t="s">
        <v>690</v>
      </c>
      <c r="B98" s="25" t="str">
        <f t="shared" si="37"/>
        <v>F02</v>
      </c>
      <c r="C98" s="25" t="str">
        <f t="shared" si="38"/>
        <v>B0</v>
      </c>
      <c r="D98" s="25" t="str">
        <f t="shared" si="39"/>
        <v>02</v>
      </c>
      <c r="E98" s="25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878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39">
        <f t="shared" si="43"/>
        <v>15</v>
      </c>
      <c r="N98" s="39" t="str">
        <f t="shared" si="44"/>
        <v>IA</v>
      </c>
      <c r="O98" s="39">
        <f t="shared" si="45"/>
        <v>5</v>
      </c>
      <c r="P98" s="39" t="s">
        <v>602</v>
      </c>
      <c r="Q98" s="39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27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1">
        <f t="shared" si="36"/>
        <v>0</v>
      </c>
      <c r="AE98" s="21">
        <f t="shared" si="50"/>
        <v>15</v>
      </c>
      <c r="AF98" s="21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1351</v>
      </c>
      <c r="AM98" t="s">
        <v>1019</v>
      </c>
      <c r="AN98" t="s">
        <v>27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1271</v>
      </c>
    </row>
    <row r="99" spans="1:56" x14ac:dyDescent="0.25">
      <c r="A99" s="25" t="s">
        <v>691</v>
      </c>
      <c r="B99" s="25" t="str">
        <f t="shared" si="37"/>
        <v>F02</v>
      </c>
      <c r="C99" s="25" t="str">
        <f t="shared" si="38"/>
        <v>B0</v>
      </c>
      <c r="D99" s="25" t="str">
        <f t="shared" si="39"/>
        <v>01</v>
      </c>
      <c r="E99" s="25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878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39">
        <f t="shared" si="43"/>
        <v>5</v>
      </c>
      <c r="N99" s="39" t="str">
        <f t="shared" si="44"/>
        <v>IA</v>
      </c>
      <c r="O99" s="39">
        <f t="shared" si="45"/>
        <v>5</v>
      </c>
      <c r="P99" s="39" t="s">
        <v>602</v>
      </c>
      <c r="Q99" s="39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27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1">
        <f t="shared" si="36"/>
        <v>0</v>
      </c>
      <c r="AE99" s="21">
        <f t="shared" si="50"/>
        <v>0</v>
      </c>
      <c r="AF99" s="21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1352</v>
      </c>
      <c r="AM99" t="s">
        <v>1020</v>
      </c>
      <c r="AN99" t="s">
        <v>27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1271</v>
      </c>
    </row>
    <row r="100" spans="1:56" x14ac:dyDescent="0.25">
      <c r="A100" s="25" t="s">
        <v>692</v>
      </c>
      <c r="B100" s="25" t="str">
        <f t="shared" si="37"/>
        <v>F02</v>
      </c>
      <c r="C100" s="25" t="str">
        <f t="shared" si="38"/>
        <v>B0</v>
      </c>
      <c r="D100" s="25" t="str">
        <f t="shared" si="39"/>
        <v>01</v>
      </c>
      <c r="E100" s="25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878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39">
        <f t="shared" si="43"/>
        <v>6</v>
      </c>
      <c r="N100" s="39" t="str">
        <f t="shared" si="44"/>
        <v>IA</v>
      </c>
      <c r="O100" s="39">
        <f t="shared" si="45"/>
        <v>5</v>
      </c>
      <c r="P100" s="39" t="s">
        <v>602</v>
      </c>
      <c r="Q100" s="39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27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1">
        <f t="shared" si="36"/>
        <v>1</v>
      </c>
      <c r="AE100" s="21">
        <f t="shared" si="50"/>
        <v>0</v>
      </c>
      <c r="AF100" s="21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1353</v>
      </c>
      <c r="AM100" t="s">
        <v>1021</v>
      </c>
      <c r="AN100" t="s">
        <v>27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1271</v>
      </c>
    </row>
    <row r="101" spans="1:56" x14ac:dyDescent="0.25">
      <c r="A101" s="25" t="s">
        <v>693</v>
      </c>
      <c r="B101" s="25" t="str">
        <f t="shared" si="37"/>
        <v>F02</v>
      </c>
      <c r="C101" s="25" t="str">
        <f t="shared" si="38"/>
        <v>B0</v>
      </c>
      <c r="D101" s="25" t="str">
        <f t="shared" si="39"/>
        <v>01</v>
      </c>
      <c r="E101" s="25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878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39">
        <f t="shared" si="43"/>
        <v>7</v>
      </c>
      <c r="N101" s="39" t="str">
        <f t="shared" si="44"/>
        <v>IA</v>
      </c>
      <c r="O101" s="39">
        <f t="shared" si="45"/>
        <v>5</v>
      </c>
      <c r="P101" s="39" t="s">
        <v>602</v>
      </c>
      <c r="Q101" s="39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27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1">
        <f t="shared" si="36"/>
        <v>2</v>
      </c>
      <c r="AE101" s="21">
        <f t="shared" si="50"/>
        <v>0</v>
      </c>
      <c r="AF101" s="21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1354</v>
      </c>
      <c r="AM101" t="s">
        <v>1022</v>
      </c>
      <c r="AN101" t="s">
        <v>27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1271</v>
      </c>
    </row>
    <row r="102" spans="1:56" x14ac:dyDescent="0.25">
      <c r="A102" s="25" t="s">
        <v>694</v>
      </c>
      <c r="B102" s="25" t="str">
        <f t="shared" si="37"/>
        <v>F02</v>
      </c>
      <c r="C102" s="25" t="str">
        <f t="shared" si="38"/>
        <v>B0</v>
      </c>
      <c r="D102" s="25" t="str">
        <f t="shared" si="39"/>
        <v>01</v>
      </c>
      <c r="E102" s="25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878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39">
        <f t="shared" si="43"/>
        <v>8</v>
      </c>
      <c r="N102" s="39" t="str">
        <f t="shared" si="44"/>
        <v>IA</v>
      </c>
      <c r="O102" s="39">
        <f t="shared" si="45"/>
        <v>5</v>
      </c>
      <c r="P102" s="39" t="s">
        <v>602</v>
      </c>
      <c r="Q102" s="39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27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1">
        <f t="shared" si="36"/>
        <v>3</v>
      </c>
      <c r="AE102" s="21">
        <f t="shared" si="50"/>
        <v>0</v>
      </c>
      <c r="AF102" s="21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1355</v>
      </c>
      <c r="AM102" t="s">
        <v>1023</v>
      </c>
      <c r="AN102" t="s">
        <v>27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1271</v>
      </c>
    </row>
    <row r="103" spans="1:56" x14ac:dyDescent="0.25">
      <c r="A103" s="25" t="s">
        <v>695</v>
      </c>
      <c r="B103" s="25" t="str">
        <f t="shared" si="37"/>
        <v>F02</v>
      </c>
      <c r="C103" s="25" t="str">
        <f t="shared" si="38"/>
        <v>B0</v>
      </c>
      <c r="D103" s="25" t="str">
        <f t="shared" si="39"/>
        <v>01</v>
      </c>
      <c r="E103" s="25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878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39">
        <f t="shared" si="43"/>
        <v>10</v>
      </c>
      <c r="N103" s="39" t="str">
        <f t="shared" si="44"/>
        <v>IA</v>
      </c>
      <c r="O103" s="39">
        <f t="shared" si="45"/>
        <v>5</v>
      </c>
      <c r="P103" s="39" t="s">
        <v>602</v>
      </c>
      <c r="Q103" s="39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27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1">
        <f t="shared" si="36"/>
        <v>5</v>
      </c>
      <c r="AE103" s="21">
        <f t="shared" si="50"/>
        <v>0</v>
      </c>
      <c r="AF103" s="21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1356</v>
      </c>
      <c r="AM103" t="s">
        <v>1024</v>
      </c>
      <c r="AN103" t="s">
        <v>27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1271</v>
      </c>
    </row>
    <row r="104" spans="1:56" x14ac:dyDescent="0.25">
      <c r="A104" s="25" t="s">
        <v>696</v>
      </c>
      <c r="B104" s="25" t="str">
        <f t="shared" si="37"/>
        <v>F02</v>
      </c>
      <c r="C104" s="25" t="str">
        <f t="shared" si="38"/>
        <v>B0</v>
      </c>
      <c r="D104" s="25" t="str">
        <f t="shared" si="39"/>
        <v>01</v>
      </c>
      <c r="E104" s="25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878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39">
        <f t="shared" si="43"/>
        <v>12</v>
      </c>
      <c r="N104" s="39" t="str">
        <f t="shared" si="44"/>
        <v>IA</v>
      </c>
      <c r="O104" s="39">
        <f t="shared" si="45"/>
        <v>5</v>
      </c>
      <c r="P104" s="39" t="s">
        <v>602</v>
      </c>
      <c r="Q104" s="39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27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1">
        <f t="shared" si="36"/>
        <v>7</v>
      </c>
      <c r="AE104" s="21">
        <f t="shared" si="50"/>
        <v>0</v>
      </c>
      <c r="AF104" s="21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1357</v>
      </c>
      <c r="AM104" t="s">
        <v>1025</v>
      </c>
      <c r="AN104" t="s">
        <v>27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1271</v>
      </c>
    </row>
    <row r="105" spans="1:56" x14ac:dyDescent="0.25">
      <c r="A105" s="25" t="s">
        <v>697</v>
      </c>
      <c r="B105" s="25" t="str">
        <f t="shared" si="37"/>
        <v>F02</v>
      </c>
      <c r="C105" s="25" t="str">
        <f t="shared" si="38"/>
        <v>B0</v>
      </c>
      <c r="D105" s="25" t="str">
        <f t="shared" si="39"/>
        <v>01</v>
      </c>
      <c r="E105" s="25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878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39">
        <f t="shared" si="43"/>
        <v>13</v>
      </c>
      <c r="N105" s="39" t="str">
        <f t="shared" si="44"/>
        <v>IA</v>
      </c>
      <c r="O105" s="39">
        <f t="shared" si="45"/>
        <v>5</v>
      </c>
      <c r="P105" s="39" t="s">
        <v>602</v>
      </c>
      <c r="Q105" s="39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27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1">
        <f t="shared" si="36"/>
        <v>8</v>
      </c>
      <c r="AE105" s="21">
        <f t="shared" si="50"/>
        <v>0</v>
      </c>
      <c r="AF105" s="21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1358</v>
      </c>
      <c r="AM105" t="s">
        <v>1026</v>
      </c>
      <c r="AN105" t="s">
        <v>27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1271</v>
      </c>
    </row>
    <row r="106" spans="1:56" x14ac:dyDescent="0.25">
      <c r="A106" s="25" t="s">
        <v>698</v>
      </c>
      <c r="B106" s="25" t="str">
        <f t="shared" si="37"/>
        <v>F02</v>
      </c>
      <c r="C106" s="25" t="str">
        <f t="shared" si="38"/>
        <v>B0</v>
      </c>
      <c r="D106" s="25" t="str">
        <f t="shared" si="39"/>
        <v>01</v>
      </c>
      <c r="E106" s="25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878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39">
        <f t="shared" si="43"/>
        <v>15</v>
      </c>
      <c r="N106" s="39" t="str">
        <f t="shared" si="44"/>
        <v>IA</v>
      </c>
      <c r="O106" s="39">
        <f t="shared" si="45"/>
        <v>5</v>
      </c>
      <c r="P106" s="39" t="s">
        <v>602</v>
      </c>
      <c r="Q106" s="39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27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1">
        <f t="shared" si="36"/>
        <v>10</v>
      </c>
      <c r="AE106" s="21">
        <f t="shared" si="50"/>
        <v>0</v>
      </c>
      <c r="AF106" s="21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1359</v>
      </c>
      <c r="AM106" t="s">
        <v>1027</v>
      </c>
      <c r="AN106" t="s">
        <v>27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1271</v>
      </c>
    </row>
    <row r="107" spans="1:56" x14ac:dyDescent="0.25">
      <c r="A107" s="25" t="s">
        <v>699</v>
      </c>
      <c r="B107" s="25" t="str">
        <f t="shared" si="37"/>
        <v>F02</v>
      </c>
      <c r="C107" s="25" t="str">
        <f t="shared" si="38"/>
        <v>B0</v>
      </c>
      <c r="D107" s="25" t="str">
        <f t="shared" si="39"/>
        <v>01</v>
      </c>
      <c r="E107" s="25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878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39">
        <f t="shared" si="43"/>
        <v>20</v>
      </c>
      <c r="N107" s="39" t="str">
        <f t="shared" si="44"/>
        <v>IA</v>
      </c>
      <c r="O107" s="39">
        <f t="shared" si="45"/>
        <v>5</v>
      </c>
      <c r="P107" s="39" t="s">
        <v>602</v>
      </c>
      <c r="Q107" s="39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27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1">
        <f t="shared" si="36"/>
        <v>15</v>
      </c>
      <c r="AE107" s="21">
        <f t="shared" si="50"/>
        <v>0</v>
      </c>
      <c r="AF107" s="21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1360</v>
      </c>
      <c r="AM107" t="s">
        <v>1028</v>
      </c>
      <c r="AN107" t="s">
        <v>27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1271</v>
      </c>
    </row>
    <row r="108" spans="1:56" x14ac:dyDescent="0.25">
      <c r="A108" s="25" t="s">
        <v>700</v>
      </c>
      <c r="B108" s="25" t="str">
        <f t="shared" si="37"/>
        <v>F02</v>
      </c>
      <c r="C108" s="25" t="str">
        <f t="shared" si="38"/>
        <v>B0</v>
      </c>
      <c r="D108" s="25" t="str">
        <f t="shared" si="39"/>
        <v>01</v>
      </c>
      <c r="E108" s="25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878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39">
        <f t="shared" si="43"/>
        <v>50</v>
      </c>
      <c r="N108" s="39" t="str">
        <f t="shared" si="44"/>
        <v>IA</v>
      </c>
      <c r="O108" s="39">
        <f t="shared" si="45"/>
        <v>5</v>
      </c>
      <c r="P108" s="39" t="s">
        <v>602</v>
      </c>
      <c r="Q108" s="39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27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1">
        <f t="shared" si="36"/>
        <v>45</v>
      </c>
      <c r="AE108" s="21">
        <f t="shared" si="50"/>
        <v>0</v>
      </c>
      <c r="AF108" s="21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1361</v>
      </c>
      <c r="AM108" t="s">
        <v>1029</v>
      </c>
      <c r="AN108" t="s">
        <v>27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1271</v>
      </c>
    </row>
    <row r="109" spans="1:56" x14ac:dyDescent="0.25">
      <c r="A109" s="25" t="s">
        <v>701</v>
      </c>
      <c r="B109" s="25" t="str">
        <f t="shared" si="37"/>
        <v>F02</v>
      </c>
      <c r="C109" s="25" t="str">
        <f t="shared" si="38"/>
        <v>DN</v>
      </c>
      <c r="D109" s="25" t="str">
        <f t="shared" si="39"/>
        <v>01</v>
      </c>
      <c r="E109" s="25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878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39">
        <f t="shared" si="43"/>
        <v>2.5</v>
      </c>
      <c r="N109" s="39" t="str">
        <f t="shared" si="44"/>
        <v>IA</v>
      </c>
      <c r="O109" s="39">
        <f t="shared" si="45"/>
        <v>5</v>
      </c>
      <c r="P109" s="39" t="s">
        <v>602</v>
      </c>
      <c r="Q109" s="39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27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1">
        <f t="shared" si="36"/>
        <v>0</v>
      </c>
      <c r="AE109" s="21">
        <f t="shared" si="50"/>
        <v>0</v>
      </c>
      <c r="AF109" s="21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1362</v>
      </c>
      <c r="AM109" t="s">
        <v>1030</v>
      </c>
      <c r="AN109" t="s">
        <v>27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1521</v>
      </c>
    </row>
    <row r="110" spans="1:56" x14ac:dyDescent="0.25">
      <c r="A110" s="25" t="s">
        <v>702</v>
      </c>
      <c r="B110" s="25" t="str">
        <f t="shared" si="37"/>
        <v>F02</v>
      </c>
      <c r="C110" s="25" t="str">
        <f t="shared" si="38"/>
        <v>DN</v>
      </c>
      <c r="D110" s="25" t="str">
        <f t="shared" si="39"/>
        <v>01</v>
      </c>
      <c r="E110" s="25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878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39">
        <f t="shared" si="43"/>
        <v>25</v>
      </c>
      <c r="N110" s="39" t="str">
        <f t="shared" si="44"/>
        <v>IA</v>
      </c>
      <c r="O110" s="39">
        <f t="shared" si="45"/>
        <v>5</v>
      </c>
      <c r="P110" s="39" t="s">
        <v>602</v>
      </c>
      <c r="Q110" s="39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27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1">
        <f t="shared" si="36"/>
        <v>19</v>
      </c>
      <c r="AE110" s="21">
        <f t="shared" si="50"/>
        <v>0</v>
      </c>
      <c r="AF110" s="21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1363</v>
      </c>
      <c r="AM110" t="s">
        <v>1031</v>
      </c>
      <c r="AN110" t="s">
        <v>27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1521</v>
      </c>
    </row>
    <row r="111" spans="1:56" x14ac:dyDescent="0.25">
      <c r="A111" s="25" t="s">
        <v>703</v>
      </c>
      <c r="B111" s="25" t="str">
        <f t="shared" si="37"/>
        <v>F02</v>
      </c>
      <c r="C111" s="25" t="str">
        <f t="shared" si="38"/>
        <v>DN</v>
      </c>
      <c r="D111" s="25" t="str">
        <f t="shared" si="39"/>
        <v>01</v>
      </c>
      <c r="E111" s="25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878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39">
        <f t="shared" si="43"/>
        <v>30</v>
      </c>
      <c r="N111" s="39" t="str">
        <f t="shared" si="44"/>
        <v>IA</v>
      </c>
      <c r="O111" s="39">
        <f t="shared" si="45"/>
        <v>5</v>
      </c>
      <c r="P111" s="39" t="s">
        <v>602</v>
      </c>
      <c r="Q111" s="39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27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1">
        <f t="shared" si="36"/>
        <v>23.75</v>
      </c>
      <c r="AE111" s="21">
        <f t="shared" si="50"/>
        <v>0</v>
      </c>
      <c r="AF111" s="21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1364</v>
      </c>
      <c r="AM111" t="s">
        <v>1032</v>
      </c>
      <c r="AN111" t="s">
        <v>27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1521</v>
      </c>
    </row>
    <row r="112" spans="1:56" x14ac:dyDescent="0.25">
      <c r="A112" s="25" t="s">
        <v>704</v>
      </c>
      <c r="B112" s="25" t="str">
        <f t="shared" si="37"/>
        <v>F02</v>
      </c>
      <c r="C112" s="25" t="str">
        <f t="shared" si="38"/>
        <v>DN</v>
      </c>
      <c r="D112" s="25" t="str">
        <f t="shared" si="39"/>
        <v>02</v>
      </c>
      <c r="E112" s="25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878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39">
        <f t="shared" si="43"/>
        <v>3</v>
      </c>
      <c r="N112" s="39" t="str">
        <f t="shared" si="44"/>
        <v>IA</v>
      </c>
      <c r="O112" s="39">
        <f t="shared" si="45"/>
        <v>5</v>
      </c>
      <c r="P112" s="39" t="s">
        <v>602</v>
      </c>
      <c r="Q112" s="39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27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1">
        <f t="shared" si="36"/>
        <v>0</v>
      </c>
      <c r="AE112" s="21">
        <f t="shared" si="50"/>
        <v>2.8499999999999996</v>
      </c>
      <c r="AF112" s="21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1365</v>
      </c>
      <c r="AM112" t="s">
        <v>1033</v>
      </c>
      <c r="AN112" t="s">
        <v>27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1521</v>
      </c>
    </row>
    <row r="113" spans="1:56" x14ac:dyDescent="0.25">
      <c r="A113" s="25" t="s">
        <v>705</v>
      </c>
      <c r="B113" s="25" t="str">
        <f t="shared" si="37"/>
        <v>F02</v>
      </c>
      <c r="C113" s="25" t="str">
        <f t="shared" si="38"/>
        <v>DN</v>
      </c>
      <c r="D113" s="25" t="str">
        <f t="shared" si="39"/>
        <v>02</v>
      </c>
      <c r="E113" s="25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878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39">
        <f t="shared" si="43"/>
        <v>10</v>
      </c>
      <c r="N113" s="39" t="str">
        <f t="shared" si="44"/>
        <v>IA</v>
      </c>
      <c r="O113" s="39">
        <f t="shared" si="45"/>
        <v>5</v>
      </c>
      <c r="P113" s="39" t="s">
        <v>602</v>
      </c>
      <c r="Q113" s="39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27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1">
        <f t="shared" si="36"/>
        <v>0</v>
      </c>
      <c r="AE113" s="21">
        <f t="shared" si="50"/>
        <v>9.5</v>
      </c>
      <c r="AF113" s="21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1366</v>
      </c>
      <c r="AM113" t="s">
        <v>1034</v>
      </c>
      <c r="AN113" t="s">
        <v>27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1521</v>
      </c>
    </row>
    <row r="114" spans="1:56" x14ac:dyDescent="0.25">
      <c r="A114" s="25" t="s">
        <v>706</v>
      </c>
      <c r="B114" s="25" t="str">
        <f t="shared" si="37"/>
        <v>F02</v>
      </c>
      <c r="C114" s="25" t="str">
        <f t="shared" si="38"/>
        <v>DN</v>
      </c>
      <c r="D114" s="25" t="str">
        <f t="shared" si="39"/>
        <v>02</v>
      </c>
      <c r="E114" s="25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878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39">
        <f t="shared" si="43"/>
        <v>15</v>
      </c>
      <c r="N114" s="39" t="str">
        <f t="shared" si="44"/>
        <v>IA</v>
      </c>
      <c r="O114" s="39">
        <f t="shared" si="45"/>
        <v>5</v>
      </c>
      <c r="P114" s="39" t="s">
        <v>602</v>
      </c>
      <c r="Q114" s="39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27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1">
        <f t="shared" si="36"/>
        <v>0</v>
      </c>
      <c r="AE114" s="21">
        <f t="shared" si="50"/>
        <v>14.25</v>
      </c>
      <c r="AF114" s="21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1367</v>
      </c>
      <c r="AM114" t="s">
        <v>1035</v>
      </c>
      <c r="AN114" t="s">
        <v>27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1521</v>
      </c>
    </row>
    <row r="115" spans="1:56" x14ac:dyDescent="0.25">
      <c r="A115" s="25" t="s">
        <v>707</v>
      </c>
      <c r="B115" s="25" t="str">
        <f t="shared" si="37"/>
        <v>F02</v>
      </c>
      <c r="C115" s="25" t="str">
        <f t="shared" si="38"/>
        <v>DN</v>
      </c>
      <c r="D115" s="25" t="str">
        <f t="shared" si="39"/>
        <v>02</v>
      </c>
      <c r="E115" s="25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878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39">
        <f t="shared" si="43"/>
        <v>20</v>
      </c>
      <c r="N115" s="39" t="str">
        <f t="shared" si="44"/>
        <v>IA</v>
      </c>
      <c r="O115" s="39">
        <f t="shared" si="45"/>
        <v>5</v>
      </c>
      <c r="P115" s="39" t="s">
        <v>602</v>
      </c>
      <c r="Q115" s="39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27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1">
        <f t="shared" si="36"/>
        <v>0</v>
      </c>
      <c r="AE115" s="21">
        <f t="shared" si="50"/>
        <v>19</v>
      </c>
      <c r="AF115" s="21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1368</v>
      </c>
      <c r="AM115" t="s">
        <v>1036</v>
      </c>
      <c r="AN115" t="s">
        <v>27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1521</v>
      </c>
    </row>
    <row r="116" spans="1:56" x14ac:dyDescent="0.25">
      <c r="A116" s="25" t="s">
        <v>708</v>
      </c>
      <c r="B116" s="25" t="str">
        <f t="shared" si="37"/>
        <v>F02</v>
      </c>
      <c r="C116" s="25" t="str">
        <f t="shared" si="38"/>
        <v>DN</v>
      </c>
      <c r="D116" s="25" t="str">
        <f t="shared" si="39"/>
        <v>02</v>
      </c>
      <c r="E116" s="25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878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39">
        <f t="shared" si="43"/>
        <v>25</v>
      </c>
      <c r="N116" s="39" t="str">
        <f t="shared" si="44"/>
        <v>IA</v>
      </c>
      <c r="O116" s="39">
        <f t="shared" si="45"/>
        <v>5</v>
      </c>
      <c r="P116" s="39" t="s">
        <v>602</v>
      </c>
      <c r="Q116" s="39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27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1">
        <f t="shared" si="36"/>
        <v>0</v>
      </c>
      <c r="AE116" s="21">
        <f t="shared" si="50"/>
        <v>23.75</v>
      </c>
      <c r="AF116" s="21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1369</v>
      </c>
      <c r="AM116" t="s">
        <v>1037</v>
      </c>
      <c r="AN116" t="s">
        <v>27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1521</v>
      </c>
    </row>
    <row r="117" spans="1:56" x14ac:dyDescent="0.25">
      <c r="A117" s="25" t="s">
        <v>709</v>
      </c>
      <c r="B117" s="25" t="str">
        <f t="shared" si="37"/>
        <v>F02</v>
      </c>
      <c r="C117" s="25" t="str">
        <f t="shared" si="38"/>
        <v>DN</v>
      </c>
      <c r="D117" s="25" t="str">
        <f t="shared" si="39"/>
        <v>02</v>
      </c>
      <c r="E117" s="25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878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39">
        <f t="shared" si="43"/>
        <v>35</v>
      </c>
      <c r="N117" s="39" t="str">
        <f t="shared" si="44"/>
        <v>IA</v>
      </c>
      <c r="O117" s="39">
        <f t="shared" si="45"/>
        <v>5</v>
      </c>
      <c r="P117" s="39" t="s">
        <v>602</v>
      </c>
      <c r="Q117" s="39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27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1">
        <f t="shared" si="36"/>
        <v>0</v>
      </c>
      <c r="AE117" s="21">
        <f t="shared" si="50"/>
        <v>33.25</v>
      </c>
      <c r="AF117" s="21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1370</v>
      </c>
      <c r="AM117" t="s">
        <v>1038</v>
      </c>
      <c r="AN117" t="s">
        <v>27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1521</v>
      </c>
    </row>
    <row r="118" spans="1:56" x14ac:dyDescent="0.25">
      <c r="A118" s="25" t="s">
        <v>710</v>
      </c>
      <c r="B118" s="25" t="str">
        <f t="shared" si="37"/>
        <v>F02</v>
      </c>
      <c r="C118" s="25" t="str">
        <f t="shared" si="38"/>
        <v>DN</v>
      </c>
      <c r="D118" s="25" t="str">
        <f t="shared" si="39"/>
        <v>02</v>
      </c>
      <c r="E118" s="25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878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39">
        <f t="shared" si="43"/>
        <v>50</v>
      </c>
      <c r="N118" s="39" t="str">
        <f t="shared" si="44"/>
        <v>IA</v>
      </c>
      <c r="O118" s="39">
        <f t="shared" si="45"/>
        <v>5</v>
      </c>
      <c r="P118" s="39" t="s">
        <v>602</v>
      </c>
      <c r="Q118" s="39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27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1">
        <f t="shared" si="36"/>
        <v>0</v>
      </c>
      <c r="AE118" s="21">
        <f t="shared" si="50"/>
        <v>47.5</v>
      </c>
      <c r="AF118" s="21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1371</v>
      </c>
      <c r="AM118" t="s">
        <v>1039</v>
      </c>
      <c r="AN118" t="s">
        <v>27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1521</v>
      </c>
    </row>
    <row r="119" spans="1:56" x14ac:dyDescent="0.25">
      <c r="A119" s="25" t="s">
        <v>711</v>
      </c>
      <c r="B119" s="25" t="str">
        <f t="shared" si="37"/>
        <v>F02</v>
      </c>
      <c r="C119" s="25" t="str">
        <f t="shared" si="38"/>
        <v>DN</v>
      </c>
      <c r="D119" s="25" t="str">
        <f t="shared" si="39"/>
        <v>02</v>
      </c>
      <c r="E119" s="25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878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39">
        <f t="shared" si="43"/>
        <v>100</v>
      </c>
      <c r="N119" s="39" t="str">
        <f t="shared" si="44"/>
        <v>IA</v>
      </c>
      <c r="O119" s="39">
        <f t="shared" si="45"/>
        <v>5</v>
      </c>
      <c r="P119" s="39" t="s">
        <v>602</v>
      </c>
      <c r="Q119" s="39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27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1">
        <f t="shared" si="36"/>
        <v>0</v>
      </c>
      <c r="AE119" s="21">
        <f t="shared" si="50"/>
        <v>95</v>
      </c>
      <c r="AF119" s="21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1372</v>
      </c>
      <c r="AM119" t="s">
        <v>1040</v>
      </c>
      <c r="AN119" t="s">
        <v>27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1521</v>
      </c>
    </row>
    <row r="120" spans="1:56" x14ac:dyDescent="0.25">
      <c r="A120" s="25" t="s">
        <v>712</v>
      </c>
      <c r="B120" s="25" t="str">
        <f t="shared" si="37"/>
        <v>F02</v>
      </c>
      <c r="C120" s="25" t="str">
        <f t="shared" si="38"/>
        <v>DN</v>
      </c>
      <c r="D120" s="25" t="str">
        <f t="shared" si="39"/>
        <v>02</v>
      </c>
      <c r="E120" s="25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878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39">
        <f t="shared" si="43"/>
        <v>200</v>
      </c>
      <c r="N120" s="39" t="str">
        <f t="shared" si="44"/>
        <v>IA</v>
      </c>
      <c r="O120" s="39">
        <f t="shared" si="45"/>
        <v>5</v>
      </c>
      <c r="P120" s="39" t="s">
        <v>602</v>
      </c>
      <c r="Q120" s="39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27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1">
        <f t="shared" si="36"/>
        <v>0</v>
      </c>
      <c r="AE120" s="21">
        <f t="shared" si="50"/>
        <v>190</v>
      </c>
      <c r="AF120" s="21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1373</v>
      </c>
      <c r="AM120" t="s">
        <v>1041</v>
      </c>
      <c r="AN120" t="s">
        <v>27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1521</v>
      </c>
    </row>
    <row r="121" spans="1:56" x14ac:dyDescent="0.25">
      <c r="A121" s="25" t="s">
        <v>713</v>
      </c>
      <c r="B121" s="25" t="str">
        <f t="shared" si="37"/>
        <v>F02</v>
      </c>
      <c r="C121" s="25" t="str">
        <f t="shared" si="38"/>
        <v>DN</v>
      </c>
      <c r="D121" s="25" t="str">
        <f t="shared" si="39"/>
        <v>01</v>
      </c>
      <c r="E121" s="25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878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39">
        <f t="shared" si="43"/>
        <v>5</v>
      </c>
      <c r="N121" s="39" t="str">
        <f t="shared" si="44"/>
        <v>IA</v>
      </c>
      <c r="O121" s="39">
        <f t="shared" si="45"/>
        <v>5</v>
      </c>
      <c r="P121" s="39" t="s">
        <v>602</v>
      </c>
      <c r="Q121" s="39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27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1">
        <f t="shared" si="36"/>
        <v>0</v>
      </c>
      <c r="AE121" s="21">
        <f t="shared" si="50"/>
        <v>0</v>
      </c>
      <c r="AF121" s="21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1374</v>
      </c>
      <c r="AM121" t="s">
        <v>1042</v>
      </c>
      <c r="AN121" t="s">
        <v>27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1521</v>
      </c>
    </row>
    <row r="122" spans="1:56" x14ac:dyDescent="0.25">
      <c r="A122" s="25" t="s">
        <v>714</v>
      </c>
      <c r="B122" s="25" t="str">
        <f t="shared" si="37"/>
        <v>F02</v>
      </c>
      <c r="C122" s="25" t="str">
        <f t="shared" si="38"/>
        <v>DN</v>
      </c>
      <c r="D122" s="25" t="str">
        <f t="shared" si="39"/>
        <v>01</v>
      </c>
      <c r="E122" s="25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878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39">
        <f t="shared" si="43"/>
        <v>10</v>
      </c>
      <c r="N122" s="39" t="str">
        <f t="shared" si="44"/>
        <v>IA</v>
      </c>
      <c r="O122" s="39">
        <f t="shared" si="45"/>
        <v>5</v>
      </c>
      <c r="P122" s="39" t="s">
        <v>602</v>
      </c>
      <c r="Q122" s="39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27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1">
        <f t="shared" si="36"/>
        <v>4.75</v>
      </c>
      <c r="AE122" s="21">
        <f t="shared" si="50"/>
        <v>0</v>
      </c>
      <c r="AF122" s="21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1375</v>
      </c>
      <c r="AM122" t="s">
        <v>1043</v>
      </c>
      <c r="AN122" t="s">
        <v>27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1521</v>
      </c>
    </row>
    <row r="123" spans="1:56" x14ac:dyDescent="0.25">
      <c r="A123" s="25" t="s">
        <v>715</v>
      </c>
      <c r="B123" s="25" t="str">
        <f t="shared" si="37"/>
        <v>F02</v>
      </c>
      <c r="C123" s="25" t="str">
        <f t="shared" si="38"/>
        <v>DN</v>
      </c>
      <c r="D123" s="25" t="str">
        <f t="shared" si="39"/>
        <v>01</v>
      </c>
      <c r="E123" s="25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878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39">
        <f t="shared" si="43"/>
        <v>12</v>
      </c>
      <c r="N123" s="39" t="str">
        <f t="shared" si="44"/>
        <v>IA</v>
      </c>
      <c r="O123" s="39">
        <f t="shared" si="45"/>
        <v>5</v>
      </c>
      <c r="P123" s="39" t="s">
        <v>602</v>
      </c>
      <c r="Q123" s="39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27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1">
        <f t="shared" si="36"/>
        <v>6.6499999999999995</v>
      </c>
      <c r="AE123" s="21">
        <f t="shared" si="50"/>
        <v>0</v>
      </c>
      <c r="AF123" s="21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1376</v>
      </c>
      <c r="AM123" t="s">
        <v>1044</v>
      </c>
      <c r="AN123" t="s">
        <v>27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1521</v>
      </c>
    </row>
    <row r="124" spans="1:56" x14ac:dyDescent="0.25">
      <c r="A124" s="25" t="s">
        <v>716</v>
      </c>
      <c r="B124" s="25" t="str">
        <f t="shared" si="37"/>
        <v>F02</v>
      </c>
      <c r="C124" s="25" t="str">
        <f t="shared" si="38"/>
        <v>DN</v>
      </c>
      <c r="D124" s="25" t="str">
        <f t="shared" si="39"/>
        <v>01</v>
      </c>
      <c r="E124" s="25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878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39">
        <f t="shared" si="43"/>
        <v>15</v>
      </c>
      <c r="N124" s="39" t="str">
        <f t="shared" si="44"/>
        <v>IA</v>
      </c>
      <c r="O124" s="39">
        <f t="shared" si="45"/>
        <v>5</v>
      </c>
      <c r="P124" s="39" t="s">
        <v>602</v>
      </c>
      <c r="Q124" s="39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27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1">
        <f t="shared" si="36"/>
        <v>9.5</v>
      </c>
      <c r="AE124" s="21">
        <f t="shared" si="50"/>
        <v>0</v>
      </c>
      <c r="AF124" s="21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1377</v>
      </c>
      <c r="AM124" t="s">
        <v>1045</v>
      </c>
      <c r="AN124" t="s">
        <v>27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1521</v>
      </c>
    </row>
    <row r="125" spans="1:56" x14ac:dyDescent="0.25">
      <c r="A125" s="25" t="s">
        <v>717</v>
      </c>
      <c r="B125" s="25" t="str">
        <f t="shared" si="37"/>
        <v>F02</v>
      </c>
      <c r="C125" s="25" t="str">
        <f t="shared" si="38"/>
        <v>DN</v>
      </c>
      <c r="D125" s="25" t="str">
        <f t="shared" si="39"/>
        <v>01</v>
      </c>
      <c r="E125" s="25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878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39">
        <f t="shared" si="43"/>
        <v>20</v>
      </c>
      <c r="N125" s="39" t="str">
        <f t="shared" si="44"/>
        <v>IA</v>
      </c>
      <c r="O125" s="39">
        <f t="shared" si="45"/>
        <v>5</v>
      </c>
      <c r="P125" s="39" t="s">
        <v>602</v>
      </c>
      <c r="Q125" s="39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27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1">
        <f t="shared" si="36"/>
        <v>14.25</v>
      </c>
      <c r="AE125" s="21">
        <f t="shared" si="50"/>
        <v>0</v>
      </c>
      <c r="AF125" s="21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1378</v>
      </c>
      <c r="AM125" t="s">
        <v>1046</v>
      </c>
      <c r="AN125" t="s">
        <v>27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1521</v>
      </c>
    </row>
    <row r="126" spans="1:56" x14ac:dyDescent="0.25">
      <c r="A126" s="25" t="s">
        <v>718</v>
      </c>
      <c r="B126" s="25" t="str">
        <f t="shared" si="37"/>
        <v>F02</v>
      </c>
      <c r="C126" s="25" t="str">
        <f t="shared" si="38"/>
        <v>DN</v>
      </c>
      <c r="D126" s="25" t="str">
        <f t="shared" si="39"/>
        <v>01</v>
      </c>
      <c r="E126" s="25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878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39">
        <f t="shared" si="43"/>
        <v>45</v>
      </c>
      <c r="N126" s="39" t="str">
        <f t="shared" si="44"/>
        <v>IA</v>
      </c>
      <c r="O126" s="39">
        <f t="shared" si="45"/>
        <v>5</v>
      </c>
      <c r="P126" s="39" t="s">
        <v>602</v>
      </c>
      <c r="Q126" s="39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27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1">
        <f t="shared" si="36"/>
        <v>38</v>
      </c>
      <c r="AE126" s="21">
        <f t="shared" si="50"/>
        <v>0</v>
      </c>
      <c r="AF126" s="21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1379</v>
      </c>
      <c r="AM126" t="s">
        <v>1047</v>
      </c>
      <c r="AN126" t="s">
        <v>27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1521</v>
      </c>
    </row>
    <row r="127" spans="1:56" x14ac:dyDescent="0.25">
      <c r="A127" s="25" t="s">
        <v>719</v>
      </c>
      <c r="B127" s="25" t="str">
        <f t="shared" si="37"/>
        <v>F02</v>
      </c>
      <c r="C127" s="25" t="str">
        <f t="shared" si="38"/>
        <v>DN</v>
      </c>
      <c r="D127" s="25" t="str">
        <f t="shared" si="39"/>
        <v>01</v>
      </c>
      <c r="E127" s="25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878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39">
        <f t="shared" si="43"/>
        <v>50</v>
      </c>
      <c r="N127" s="39" t="str">
        <f t="shared" si="44"/>
        <v>IA</v>
      </c>
      <c r="O127" s="39">
        <f t="shared" si="45"/>
        <v>5</v>
      </c>
      <c r="P127" s="39" t="s">
        <v>602</v>
      </c>
      <c r="Q127" s="39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27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1">
        <f t="shared" si="36"/>
        <v>42.75</v>
      </c>
      <c r="AE127" s="21">
        <f t="shared" si="50"/>
        <v>0</v>
      </c>
      <c r="AF127" s="21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1380</v>
      </c>
      <c r="AM127" t="s">
        <v>1048</v>
      </c>
      <c r="AN127" t="s">
        <v>27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1521</v>
      </c>
    </row>
    <row r="128" spans="1:56" x14ac:dyDescent="0.25">
      <c r="A128" s="25" t="s">
        <v>720</v>
      </c>
      <c r="B128" s="25" t="str">
        <f t="shared" si="37"/>
        <v>F02</v>
      </c>
      <c r="C128" s="25" t="str">
        <f t="shared" si="38"/>
        <v>DN</v>
      </c>
      <c r="D128" s="25" t="str">
        <f t="shared" si="39"/>
        <v>01</v>
      </c>
      <c r="E128" s="25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878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39">
        <f t="shared" si="43"/>
        <v>100</v>
      </c>
      <c r="N128" s="39" t="str">
        <f t="shared" si="44"/>
        <v>IA</v>
      </c>
      <c r="O128" s="39">
        <f t="shared" si="45"/>
        <v>5</v>
      </c>
      <c r="P128" s="39" t="s">
        <v>602</v>
      </c>
      <c r="Q128" s="39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27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1">
        <f t="shared" si="36"/>
        <v>90.25</v>
      </c>
      <c r="AE128" s="21">
        <f t="shared" si="50"/>
        <v>0</v>
      </c>
      <c r="AF128" s="21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1381</v>
      </c>
      <c r="AM128" t="s">
        <v>1049</v>
      </c>
      <c r="AN128" t="s">
        <v>27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1521</v>
      </c>
    </row>
    <row r="129" spans="1:56" x14ac:dyDescent="0.25">
      <c r="A129" s="25" t="s">
        <v>721</v>
      </c>
      <c r="B129" s="25" t="str">
        <f t="shared" si="37"/>
        <v>F02</v>
      </c>
      <c r="C129" s="25" t="str">
        <f t="shared" si="38"/>
        <v>DN</v>
      </c>
      <c r="D129" s="25" t="str">
        <f t="shared" si="39"/>
        <v>04</v>
      </c>
      <c r="E129" s="25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878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39">
        <f t="shared" si="43"/>
        <v>30</v>
      </c>
      <c r="N129" s="39" t="str">
        <f t="shared" si="44"/>
        <v>IA</v>
      </c>
      <c r="O129" s="39">
        <f t="shared" si="45"/>
        <v>5</v>
      </c>
      <c r="P129" s="39" t="s">
        <v>602</v>
      </c>
      <c r="Q129" s="39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27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1">
        <f t="shared" si="36"/>
        <v>0</v>
      </c>
      <c r="AE129" s="21">
        <f t="shared" si="50"/>
        <v>0</v>
      </c>
      <c r="AF129" s="21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1382</v>
      </c>
      <c r="AM129" t="s">
        <v>1050</v>
      </c>
      <c r="AN129" t="s">
        <v>27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1521</v>
      </c>
    </row>
    <row r="130" spans="1:56" x14ac:dyDescent="0.25">
      <c r="A130" s="25" t="s">
        <v>722</v>
      </c>
      <c r="B130" s="25" t="str">
        <f t="shared" si="37"/>
        <v>F02</v>
      </c>
      <c r="C130" s="25" t="str">
        <f t="shared" si="38"/>
        <v>DN</v>
      </c>
      <c r="D130" s="25" t="str">
        <f t="shared" si="39"/>
        <v>04</v>
      </c>
      <c r="E130" s="25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878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39">
        <f t="shared" si="43"/>
        <v>50</v>
      </c>
      <c r="N130" s="39" t="str">
        <f t="shared" si="44"/>
        <v>IA</v>
      </c>
      <c r="O130" s="39">
        <f t="shared" si="45"/>
        <v>5</v>
      </c>
      <c r="P130" s="39" t="s">
        <v>602</v>
      </c>
      <c r="Q130" s="39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27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1">
        <f t="shared" si="36"/>
        <v>0</v>
      </c>
      <c r="AE130" s="21">
        <f t="shared" si="50"/>
        <v>0</v>
      </c>
      <c r="AF130" s="21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1383</v>
      </c>
      <c r="AM130" t="s">
        <v>1051</v>
      </c>
      <c r="AN130" t="s">
        <v>27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1521</v>
      </c>
    </row>
    <row r="131" spans="1:56" x14ac:dyDescent="0.25">
      <c r="A131" s="25" t="s">
        <v>723</v>
      </c>
      <c r="B131" s="25" t="str">
        <f t="shared" si="37"/>
        <v>F02</v>
      </c>
      <c r="C131" s="25" t="str">
        <f t="shared" si="38"/>
        <v>LS</v>
      </c>
      <c r="D131" s="25" t="str">
        <f t="shared" si="39"/>
        <v>02</v>
      </c>
      <c r="E131" s="25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878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39">
        <f t="shared" si="43"/>
        <v>15</v>
      </c>
      <c r="N131" s="39" t="str">
        <f t="shared" si="44"/>
        <v>IA</v>
      </c>
      <c r="O131" s="39">
        <f t="shared" si="45"/>
        <v>5</v>
      </c>
      <c r="P131" s="39" t="s">
        <v>602</v>
      </c>
      <c r="Q131" s="39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27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1">
        <f t="shared" si="36"/>
        <v>0</v>
      </c>
      <c r="AE131" s="21">
        <f t="shared" si="50"/>
        <v>15</v>
      </c>
      <c r="AF131" s="21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1384</v>
      </c>
      <c r="AM131" t="s">
        <v>1052</v>
      </c>
      <c r="AN131" t="s">
        <v>27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1523</v>
      </c>
    </row>
    <row r="132" spans="1:56" x14ac:dyDescent="0.25">
      <c r="A132" s="25" t="s">
        <v>724</v>
      </c>
      <c r="B132" s="25" t="str">
        <f t="shared" si="37"/>
        <v>F02</v>
      </c>
      <c r="C132" s="25" t="str">
        <f t="shared" si="38"/>
        <v>LS</v>
      </c>
      <c r="D132" s="25" t="str">
        <f t="shared" si="39"/>
        <v>02</v>
      </c>
      <c r="E132" s="25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878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39">
        <f t="shared" si="43"/>
        <v>20</v>
      </c>
      <c r="N132" s="39" t="str">
        <f t="shared" si="44"/>
        <v>IA</v>
      </c>
      <c r="O132" s="39">
        <f t="shared" si="45"/>
        <v>5</v>
      </c>
      <c r="P132" s="39" t="s">
        <v>602</v>
      </c>
      <c r="Q132" s="39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27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1">
        <f t="shared" si="36"/>
        <v>0</v>
      </c>
      <c r="AE132" s="21">
        <f t="shared" si="50"/>
        <v>20</v>
      </c>
      <c r="AF132" s="21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1385</v>
      </c>
      <c r="AM132" t="s">
        <v>1053</v>
      </c>
      <c r="AN132" t="s">
        <v>27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1523</v>
      </c>
    </row>
    <row r="133" spans="1:56" x14ac:dyDescent="0.25">
      <c r="A133" s="25" t="s">
        <v>725</v>
      </c>
      <c r="B133" s="25" t="str">
        <f t="shared" si="37"/>
        <v>F02</v>
      </c>
      <c r="C133" s="25" t="str">
        <f t="shared" si="38"/>
        <v>LS</v>
      </c>
      <c r="D133" s="25" t="str">
        <f t="shared" si="39"/>
        <v>02</v>
      </c>
      <c r="E133" s="25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878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39">
        <f t="shared" si="43"/>
        <v>40</v>
      </c>
      <c r="N133" s="39" t="str">
        <f t="shared" si="44"/>
        <v>IA</v>
      </c>
      <c r="O133" s="39">
        <f t="shared" si="45"/>
        <v>5</v>
      </c>
      <c r="P133" s="39" t="s">
        <v>602</v>
      </c>
      <c r="Q133" s="39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27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1">
        <f t="shared" si="36"/>
        <v>0</v>
      </c>
      <c r="AE133" s="21">
        <f t="shared" si="50"/>
        <v>40</v>
      </c>
      <c r="AF133" s="21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1386</v>
      </c>
      <c r="AM133" t="s">
        <v>1054</v>
      </c>
      <c r="AN133" t="s">
        <v>27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1523</v>
      </c>
    </row>
    <row r="134" spans="1:56" x14ac:dyDescent="0.25">
      <c r="A134" s="25" t="s">
        <v>726</v>
      </c>
      <c r="B134" s="25" t="str">
        <f t="shared" si="37"/>
        <v>F02</v>
      </c>
      <c r="C134" s="25" t="str">
        <f t="shared" si="38"/>
        <v>LS</v>
      </c>
      <c r="D134" s="25" t="str">
        <f t="shared" si="39"/>
        <v>02</v>
      </c>
      <c r="E134" s="25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878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39">
        <f t="shared" si="43"/>
        <v>50</v>
      </c>
      <c r="N134" s="39" t="str">
        <f t="shared" si="44"/>
        <v>IA</v>
      </c>
      <c r="O134" s="39">
        <f t="shared" si="45"/>
        <v>5</v>
      </c>
      <c r="P134" s="39" t="s">
        <v>602</v>
      </c>
      <c r="Q134" s="39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27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1">
        <f t="shared" si="36"/>
        <v>0</v>
      </c>
      <c r="AE134" s="21">
        <f t="shared" si="50"/>
        <v>50</v>
      </c>
      <c r="AF134" s="21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1387</v>
      </c>
      <c r="AM134" t="s">
        <v>1055</v>
      </c>
      <c r="AN134" t="s">
        <v>27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1523</v>
      </c>
    </row>
    <row r="135" spans="1:56" x14ac:dyDescent="0.25">
      <c r="A135" s="25" t="s">
        <v>727</v>
      </c>
      <c r="B135" s="25" t="str">
        <f t="shared" si="37"/>
        <v>F02</v>
      </c>
      <c r="C135" s="25" t="str">
        <f t="shared" si="38"/>
        <v>LS</v>
      </c>
      <c r="D135" s="25" t="str">
        <f t="shared" si="39"/>
        <v>02</v>
      </c>
      <c r="E135" s="25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878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39">
        <f t="shared" si="43"/>
        <v>100</v>
      </c>
      <c r="N135" s="39" t="str">
        <f t="shared" si="44"/>
        <v>IA</v>
      </c>
      <c r="O135" s="39">
        <f t="shared" si="45"/>
        <v>5</v>
      </c>
      <c r="P135" s="39" t="s">
        <v>602</v>
      </c>
      <c r="Q135" s="39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27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1">
        <f t="shared" si="36"/>
        <v>0</v>
      </c>
      <c r="AE135" s="21">
        <f t="shared" si="50"/>
        <v>100</v>
      </c>
      <c r="AF135" s="21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1388</v>
      </c>
      <c r="AM135" t="s">
        <v>1056</v>
      </c>
      <c r="AN135" t="s">
        <v>27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1523</v>
      </c>
    </row>
    <row r="136" spans="1:56" x14ac:dyDescent="0.25">
      <c r="A136" s="25" t="s">
        <v>728</v>
      </c>
      <c r="B136" s="25" t="str">
        <f t="shared" si="37"/>
        <v>F02</v>
      </c>
      <c r="C136" s="25" t="str">
        <f t="shared" si="38"/>
        <v>LS</v>
      </c>
      <c r="D136" s="25" t="str">
        <f t="shared" si="39"/>
        <v>01</v>
      </c>
      <c r="E136" s="25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878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39">
        <f t="shared" si="43"/>
        <v>5</v>
      </c>
      <c r="N136" s="39" t="str">
        <f t="shared" si="44"/>
        <v>IA</v>
      </c>
      <c r="O136" s="39">
        <f t="shared" si="45"/>
        <v>5</v>
      </c>
      <c r="P136" s="39" t="s">
        <v>602</v>
      </c>
      <c r="Q136" s="39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27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1">
        <f t="shared" si="36"/>
        <v>0</v>
      </c>
      <c r="AE136" s="21">
        <f t="shared" si="50"/>
        <v>0</v>
      </c>
      <c r="AF136" s="21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1389</v>
      </c>
      <c r="AM136" t="s">
        <v>1057</v>
      </c>
      <c r="AN136" t="s">
        <v>27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1523</v>
      </c>
    </row>
    <row r="137" spans="1:56" x14ac:dyDescent="0.25">
      <c r="A137" s="25" t="s">
        <v>729</v>
      </c>
      <c r="B137" s="25" t="str">
        <f t="shared" si="37"/>
        <v>F02</v>
      </c>
      <c r="C137" s="25" t="str">
        <f t="shared" si="38"/>
        <v>LS</v>
      </c>
      <c r="D137" s="25" t="str">
        <f t="shared" si="39"/>
        <v>01</v>
      </c>
      <c r="E137" s="25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878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39">
        <f t="shared" si="43"/>
        <v>6</v>
      </c>
      <c r="N137" s="39" t="str">
        <f t="shared" si="44"/>
        <v>IA</v>
      </c>
      <c r="O137" s="39">
        <f t="shared" si="45"/>
        <v>5</v>
      </c>
      <c r="P137" s="39" t="s">
        <v>602</v>
      </c>
      <c r="Q137" s="39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27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1">
        <f t="shared" si="36"/>
        <v>1</v>
      </c>
      <c r="AE137" s="21">
        <f t="shared" si="50"/>
        <v>0</v>
      </c>
      <c r="AF137" s="21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1390</v>
      </c>
      <c r="AM137" t="s">
        <v>1058</v>
      </c>
      <c r="AN137" t="s">
        <v>27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1523</v>
      </c>
    </row>
    <row r="138" spans="1:56" x14ac:dyDescent="0.25">
      <c r="A138" s="25" t="s">
        <v>730</v>
      </c>
      <c r="B138" s="25" t="str">
        <f t="shared" si="37"/>
        <v>F02</v>
      </c>
      <c r="C138" s="25" t="str">
        <f t="shared" si="38"/>
        <v>LS</v>
      </c>
      <c r="D138" s="25" t="str">
        <f t="shared" si="39"/>
        <v>01</v>
      </c>
      <c r="E138" s="25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878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39">
        <f t="shared" si="43"/>
        <v>10</v>
      </c>
      <c r="N138" s="39" t="str">
        <f t="shared" si="44"/>
        <v>IA</v>
      </c>
      <c r="O138" s="39">
        <f t="shared" si="45"/>
        <v>5</v>
      </c>
      <c r="P138" s="39" t="s">
        <v>602</v>
      </c>
      <c r="Q138" s="39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27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1">
        <f t="shared" si="36"/>
        <v>5</v>
      </c>
      <c r="AE138" s="21">
        <f t="shared" si="50"/>
        <v>0</v>
      </c>
      <c r="AF138" s="21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1391</v>
      </c>
      <c r="AM138" t="s">
        <v>1059</v>
      </c>
      <c r="AN138" t="s">
        <v>27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1523</v>
      </c>
    </row>
    <row r="139" spans="1:56" x14ac:dyDescent="0.25">
      <c r="A139" s="25" t="s">
        <v>731</v>
      </c>
      <c r="B139" s="25" t="str">
        <f t="shared" si="37"/>
        <v>F02</v>
      </c>
      <c r="C139" s="25" t="str">
        <f t="shared" si="38"/>
        <v>LS</v>
      </c>
      <c r="D139" s="25" t="str">
        <f t="shared" si="39"/>
        <v>01</v>
      </c>
      <c r="E139" s="25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878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39">
        <f t="shared" si="43"/>
        <v>12</v>
      </c>
      <c r="N139" s="39" t="str">
        <f t="shared" si="44"/>
        <v>IA</v>
      </c>
      <c r="O139" s="39">
        <f t="shared" si="45"/>
        <v>5</v>
      </c>
      <c r="P139" s="39" t="s">
        <v>602</v>
      </c>
      <c r="Q139" s="39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27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1">
        <f t="shared" si="36"/>
        <v>7</v>
      </c>
      <c r="AE139" s="21">
        <f t="shared" si="50"/>
        <v>0</v>
      </c>
      <c r="AF139" s="21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1392</v>
      </c>
      <c r="AM139" t="s">
        <v>1060</v>
      </c>
      <c r="AN139" t="s">
        <v>27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1523</v>
      </c>
    </row>
    <row r="140" spans="1:56" x14ac:dyDescent="0.25">
      <c r="A140" s="25" t="s">
        <v>732</v>
      </c>
      <c r="B140" s="25" t="str">
        <f t="shared" si="37"/>
        <v>F02</v>
      </c>
      <c r="C140" s="25" t="str">
        <f t="shared" si="38"/>
        <v>LS</v>
      </c>
      <c r="D140" s="25" t="str">
        <f t="shared" si="39"/>
        <v>01</v>
      </c>
      <c r="E140" s="25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878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39">
        <f t="shared" si="43"/>
        <v>13</v>
      </c>
      <c r="N140" s="39" t="str">
        <f t="shared" si="44"/>
        <v>IA</v>
      </c>
      <c r="O140" s="39">
        <f t="shared" si="45"/>
        <v>5</v>
      </c>
      <c r="P140" s="39" t="s">
        <v>602</v>
      </c>
      <c r="Q140" s="39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27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1">
        <f t="shared" si="36"/>
        <v>8</v>
      </c>
      <c r="AE140" s="21">
        <f t="shared" si="50"/>
        <v>0</v>
      </c>
      <c r="AF140" s="21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1393</v>
      </c>
      <c r="AM140" t="s">
        <v>1061</v>
      </c>
      <c r="AN140" t="s">
        <v>27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1523</v>
      </c>
    </row>
    <row r="141" spans="1:56" x14ac:dyDescent="0.25">
      <c r="A141" s="25" t="s">
        <v>733</v>
      </c>
      <c r="B141" s="25" t="str">
        <f t="shared" si="37"/>
        <v>F02</v>
      </c>
      <c r="C141" s="25" t="str">
        <f t="shared" si="38"/>
        <v>LS</v>
      </c>
      <c r="D141" s="25" t="str">
        <f t="shared" si="39"/>
        <v>01</v>
      </c>
      <c r="E141" s="25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878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39">
        <f t="shared" si="43"/>
        <v>15</v>
      </c>
      <c r="N141" s="39" t="str">
        <f t="shared" si="44"/>
        <v>IA</v>
      </c>
      <c r="O141" s="39">
        <f t="shared" si="45"/>
        <v>5</v>
      </c>
      <c r="P141" s="39" t="s">
        <v>602</v>
      </c>
      <c r="Q141" s="39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27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1">
        <f t="shared" si="36"/>
        <v>10</v>
      </c>
      <c r="AE141" s="21">
        <f t="shared" si="50"/>
        <v>0</v>
      </c>
      <c r="AF141" s="21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1394</v>
      </c>
      <c r="AM141" t="s">
        <v>1062</v>
      </c>
      <c r="AN141" t="s">
        <v>27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1523</v>
      </c>
    </row>
    <row r="142" spans="1:56" x14ac:dyDescent="0.25">
      <c r="A142" s="25" t="s">
        <v>734</v>
      </c>
      <c r="B142" s="25" t="str">
        <f t="shared" si="37"/>
        <v>F02</v>
      </c>
      <c r="C142" s="25" t="str">
        <f t="shared" si="38"/>
        <v>LS</v>
      </c>
      <c r="D142" s="25" t="str">
        <f t="shared" si="39"/>
        <v>01</v>
      </c>
      <c r="E142" s="25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878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39">
        <f t="shared" si="43"/>
        <v>16</v>
      </c>
      <c r="N142" s="39" t="str">
        <f t="shared" si="44"/>
        <v>IA</v>
      </c>
      <c r="O142" s="39">
        <f t="shared" si="45"/>
        <v>5</v>
      </c>
      <c r="P142" s="39" t="s">
        <v>602</v>
      </c>
      <c r="Q142" s="39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27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1">
        <f t="shared" si="36"/>
        <v>11</v>
      </c>
      <c r="AE142" s="21">
        <f t="shared" si="50"/>
        <v>0</v>
      </c>
      <c r="AF142" s="21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1395</v>
      </c>
      <c r="AM142" t="s">
        <v>1063</v>
      </c>
      <c r="AN142" t="s">
        <v>27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1523</v>
      </c>
    </row>
    <row r="143" spans="1:56" x14ac:dyDescent="0.25">
      <c r="A143" s="25" t="s">
        <v>735</v>
      </c>
      <c r="B143" s="25" t="str">
        <f t="shared" si="37"/>
        <v>F02</v>
      </c>
      <c r="C143" s="25" t="str">
        <f t="shared" si="38"/>
        <v>LS</v>
      </c>
      <c r="D143" s="25" t="str">
        <f t="shared" si="39"/>
        <v>01</v>
      </c>
      <c r="E143" s="25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878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39">
        <f t="shared" si="43"/>
        <v>18</v>
      </c>
      <c r="N143" s="39" t="str">
        <f t="shared" si="44"/>
        <v>IA</v>
      </c>
      <c r="O143" s="39">
        <f t="shared" si="45"/>
        <v>5</v>
      </c>
      <c r="P143" s="39" t="s">
        <v>602</v>
      </c>
      <c r="Q143" s="39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27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1">
        <f t="shared" si="36"/>
        <v>13</v>
      </c>
      <c r="AE143" s="21">
        <f t="shared" si="50"/>
        <v>0</v>
      </c>
      <c r="AF143" s="21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1396</v>
      </c>
      <c r="AM143" t="s">
        <v>1064</v>
      </c>
      <c r="AN143" t="s">
        <v>27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1523</v>
      </c>
    </row>
    <row r="144" spans="1:56" x14ac:dyDescent="0.25">
      <c r="A144" s="25" t="s">
        <v>736</v>
      </c>
      <c r="B144" s="25" t="str">
        <f t="shared" si="37"/>
        <v>F02</v>
      </c>
      <c r="C144" s="25" t="str">
        <f t="shared" si="38"/>
        <v>LS</v>
      </c>
      <c r="D144" s="25" t="str">
        <f t="shared" si="39"/>
        <v>01</v>
      </c>
      <c r="E144" s="25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878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39">
        <f t="shared" si="43"/>
        <v>20</v>
      </c>
      <c r="N144" s="39" t="str">
        <f t="shared" si="44"/>
        <v>IA</v>
      </c>
      <c r="O144" s="39">
        <f t="shared" si="45"/>
        <v>5</v>
      </c>
      <c r="P144" s="39" t="s">
        <v>602</v>
      </c>
      <c r="Q144" s="39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27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1">
        <f t="shared" si="36"/>
        <v>15</v>
      </c>
      <c r="AE144" s="21">
        <f t="shared" si="50"/>
        <v>0</v>
      </c>
      <c r="AF144" s="21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1397</v>
      </c>
      <c r="AM144" t="s">
        <v>1065</v>
      </c>
      <c r="AN144" t="s">
        <v>27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1523</v>
      </c>
    </row>
    <row r="145" spans="1:56" x14ac:dyDescent="0.25">
      <c r="A145" s="25" t="s">
        <v>737</v>
      </c>
      <c r="B145" s="25" t="str">
        <f t="shared" si="37"/>
        <v>F02</v>
      </c>
      <c r="C145" s="25" t="str">
        <f t="shared" si="38"/>
        <v>LS</v>
      </c>
      <c r="D145" s="25" t="str">
        <f t="shared" si="39"/>
        <v>01</v>
      </c>
      <c r="E145" s="25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878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39">
        <f t="shared" si="43"/>
        <v>25</v>
      </c>
      <c r="N145" s="39" t="str">
        <f t="shared" si="44"/>
        <v>IA</v>
      </c>
      <c r="O145" s="39">
        <f t="shared" si="45"/>
        <v>5</v>
      </c>
      <c r="P145" s="39" t="s">
        <v>602</v>
      </c>
      <c r="Q145" s="39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27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1">
        <f t="shared" si="36"/>
        <v>20</v>
      </c>
      <c r="AE145" s="21">
        <f t="shared" si="50"/>
        <v>0</v>
      </c>
      <c r="AF145" s="21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1398</v>
      </c>
      <c r="AM145" t="s">
        <v>1066</v>
      </c>
      <c r="AN145" t="s">
        <v>27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1523</v>
      </c>
    </row>
    <row r="146" spans="1:56" x14ac:dyDescent="0.25">
      <c r="A146" s="25" t="s">
        <v>738</v>
      </c>
      <c r="B146" s="25" t="str">
        <f t="shared" si="37"/>
        <v>F02</v>
      </c>
      <c r="C146" s="25" t="str">
        <f t="shared" si="38"/>
        <v>LS</v>
      </c>
      <c r="D146" s="25" t="str">
        <f t="shared" si="39"/>
        <v>01</v>
      </c>
      <c r="E146" s="25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878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39">
        <f t="shared" si="43"/>
        <v>30</v>
      </c>
      <c r="N146" s="39" t="str">
        <f t="shared" si="44"/>
        <v>IA</v>
      </c>
      <c r="O146" s="39">
        <f t="shared" si="45"/>
        <v>5</v>
      </c>
      <c r="P146" s="39" t="s">
        <v>602</v>
      </c>
      <c r="Q146" s="39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27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1">
        <f t="shared" si="36"/>
        <v>25</v>
      </c>
      <c r="AE146" s="21">
        <f t="shared" si="50"/>
        <v>0</v>
      </c>
      <c r="AF146" s="21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1399</v>
      </c>
      <c r="AM146" t="s">
        <v>1067</v>
      </c>
      <c r="AN146" t="s">
        <v>27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1523</v>
      </c>
    </row>
    <row r="147" spans="1:56" x14ac:dyDescent="0.25">
      <c r="A147" s="25" t="s">
        <v>739</v>
      </c>
      <c r="B147" s="25" t="str">
        <f t="shared" si="37"/>
        <v>F02</v>
      </c>
      <c r="C147" s="25" t="str">
        <f t="shared" si="38"/>
        <v>LS</v>
      </c>
      <c r="D147" s="25" t="str">
        <f t="shared" si="39"/>
        <v>01</v>
      </c>
      <c r="E147" s="25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878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39">
        <f t="shared" si="43"/>
        <v>50</v>
      </c>
      <c r="N147" s="39" t="str">
        <f t="shared" si="44"/>
        <v>IA</v>
      </c>
      <c r="O147" s="39">
        <f t="shared" si="45"/>
        <v>5</v>
      </c>
      <c r="P147" s="39" t="s">
        <v>602</v>
      </c>
      <c r="Q147" s="39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27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1">
        <f t="shared" si="36"/>
        <v>45</v>
      </c>
      <c r="AE147" s="21">
        <f t="shared" si="50"/>
        <v>0</v>
      </c>
      <c r="AF147" s="21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1400</v>
      </c>
      <c r="AM147" t="s">
        <v>1068</v>
      </c>
      <c r="AN147" t="s">
        <v>27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1523</v>
      </c>
    </row>
    <row r="148" spans="1:56" x14ac:dyDescent="0.25">
      <c r="A148" s="25" t="s">
        <v>740</v>
      </c>
      <c r="B148" s="25" t="str">
        <f t="shared" si="37"/>
        <v>F02</v>
      </c>
      <c r="C148" s="25" t="str">
        <f t="shared" si="38"/>
        <v>LS</v>
      </c>
      <c r="D148" s="25" t="str">
        <f t="shared" si="39"/>
        <v>01</v>
      </c>
      <c r="E148" s="25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878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39">
        <f t="shared" si="43"/>
        <v>100</v>
      </c>
      <c r="N148" s="39" t="str">
        <f t="shared" si="44"/>
        <v>IA</v>
      </c>
      <c r="O148" s="39">
        <f t="shared" si="45"/>
        <v>5</v>
      </c>
      <c r="P148" s="39" t="s">
        <v>602</v>
      </c>
      <c r="Q148" s="39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27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1">
        <f t="shared" si="36"/>
        <v>95</v>
      </c>
      <c r="AE148" s="21">
        <f t="shared" si="50"/>
        <v>0</v>
      </c>
      <c r="AF148" s="21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1401</v>
      </c>
      <c r="AM148" t="s">
        <v>1069</v>
      </c>
      <c r="AN148" t="s">
        <v>27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1523</v>
      </c>
    </row>
    <row r="149" spans="1:56" x14ac:dyDescent="0.25">
      <c r="A149" s="25" t="s">
        <v>741</v>
      </c>
      <c r="B149" s="25" t="str">
        <f t="shared" si="37"/>
        <v>F02</v>
      </c>
      <c r="C149" s="25" t="str">
        <f t="shared" si="38"/>
        <v>LS</v>
      </c>
      <c r="D149" s="25" t="str">
        <f t="shared" si="39"/>
        <v>04</v>
      </c>
      <c r="E149" s="25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878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39">
        <f t="shared" si="43"/>
        <v>50</v>
      </c>
      <c r="N149" s="39" t="str">
        <f t="shared" si="44"/>
        <v>IA</v>
      </c>
      <c r="O149" s="39">
        <f t="shared" si="45"/>
        <v>5</v>
      </c>
      <c r="P149" s="39" t="s">
        <v>602</v>
      </c>
      <c r="Q149" s="39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27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1">
        <f t="shared" si="36"/>
        <v>0</v>
      </c>
      <c r="AE149" s="21">
        <f t="shared" si="50"/>
        <v>0</v>
      </c>
      <c r="AF149" s="21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1402</v>
      </c>
      <c r="AM149" t="s">
        <v>1070</v>
      </c>
      <c r="AN149" t="s">
        <v>27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1523</v>
      </c>
    </row>
    <row r="150" spans="1:56" x14ac:dyDescent="0.25">
      <c r="A150" s="25" t="s">
        <v>742</v>
      </c>
      <c r="B150" s="25" t="str">
        <f t="shared" si="37"/>
        <v>F02</v>
      </c>
      <c r="C150" s="25" t="str">
        <f t="shared" si="38"/>
        <v>LT</v>
      </c>
      <c r="D150" s="25" t="str">
        <f t="shared" si="39"/>
        <v>02</v>
      </c>
      <c r="E150" s="25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878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39">
        <f t="shared" si="43"/>
        <v>100</v>
      </c>
      <c r="N150" s="39" t="str">
        <f t="shared" si="44"/>
        <v>IA</v>
      </c>
      <c r="O150" s="39">
        <f t="shared" si="45"/>
        <v>5</v>
      </c>
      <c r="P150" s="39" t="s">
        <v>602</v>
      </c>
      <c r="Q150" s="39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27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1">
        <f t="shared" si="36"/>
        <v>0</v>
      </c>
      <c r="AE150" s="21">
        <f t="shared" si="50"/>
        <v>100</v>
      </c>
      <c r="AF150" s="21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1403</v>
      </c>
      <c r="AM150" t="s">
        <v>1071</v>
      </c>
      <c r="AN150" t="s">
        <v>27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1523</v>
      </c>
    </row>
    <row r="151" spans="1:56" x14ac:dyDescent="0.25">
      <c r="A151" s="25" t="s">
        <v>743</v>
      </c>
      <c r="B151" s="25" t="str">
        <f t="shared" si="37"/>
        <v>F02</v>
      </c>
      <c r="C151" s="25" t="str">
        <f t="shared" si="38"/>
        <v>LT</v>
      </c>
      <c r="D151" s="25" t="str">
        <f t="shared" si="39"/>
        <v>01</v>
      </c>
      <c r="E151" s="25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878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39">
        <f t="shared" si="43"/>
        <v>2.5</v>
      </c>
      <c r="N151" s="39" t="str">
        <f t="shared" si="44"/>
        <v>IA</v>
      </c>
      <c r="O151" s="39">
        <f t="shared" si="45"/>
        <v>5</v>
      </c>
      <c r="P151" s="39" t="s">
        <v>602</v>
      </c>
      <c r="Q151" s="39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27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1">
        <f t="shared" si="36"/>
        <v>0</v>
      </c>
      <c r="AE151" s="21">
        <f t="shared" si="50"/>
        <v>0</v>
      </c>
      <c r="AF151" s="21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1404</v>
      </c>
      <c r="AM151" t="s">
        <v>1072</v>
      </c>
      <c r="AN151" t="s">
        <v>27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1524</v>
      </c>
    </row>
    <row r="152" spans="1:56" x14ac:dyDescent="0.25">
      <c r="A152" s="25" t="s">
        <v>744</v>
      </c>
      <c r="B152" s="25" t="str">
        <f t="shared" si="37"/>
        <v>F02</v>
      </c>
      <c r="C152" s="25" t="str">
        <f t="shared" si="38"/>
        <v>LT</v>
      </c>
      <c r="D152" s="25" t="str">
        <f t="shared" si="39"/>
        <v>01</v>
      </c>
      <c r="E152" s="25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878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39">
        <f t="shared" si="43"/>
        <v>7</v>
      </c>
      <c r="N152" s="39" t="str">
        <f t="shared" si="44"/>
        <v>IA</v>
      </c>
      <c r="O152" s="39">
        <f t="shared" si="45"/>
        <v>5</v>
      </c>
      <c r="P152" s="39" t="s">
        <v>602</v>
      </c>
      <c r="Q152" s="39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27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1">
        <f t="shared" si="36"/>
        <v>2</v>
      </c>
      <c r="AE152" s="21">
        <f t="shared" si="50"/>
        <v>0</v>
      </c>
      <c r="AF152" s="21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1405</v>
      </c>
      <c r="AM152" t="s">
        <v>1073</v>
      </c>
      <c r="AN152" t="s">
        <v>27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1523</v>
      </c>
    </row>
    <row r="153" spans="1:56" x14ac:dyDescent="0.25">
      <c r="A153" s="25" t="s">
        <v>745</v>
      </c>
      <c r="B153" s="25" t="str">
        <f t="shared" si="37"/>
        <v>F02</v>
      </c>
      <c r="C153" s="25" t="str">
        <f t="shared" si="38"/>
        <v>LT</v>
      </c>
      <c r="D153" s="25" t="str">
        <f t="shared" si="39"/>
        <v>01</v>
      </c>
      <c r="E153" s="25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878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39">
        <f t="shared" si="43"/>
        <v>10</v>
      </c>
      <c r="N153" s="39" t="str">
        <f t="shared" si="44"/>
        <v>IA</v>
      </c>
      <c r="O153" s="39">
        <f t="shared" si="45"/>
        <v>5</v>
      </c>
      <c r="P153" s="39" t="s">
        <v>602</v>
      </c>
      <c r="Q153" s="39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27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1">
        <f t="shared" ref="AD153:AD216" si="63">U153/1000000*IF(G153="IA",IF(N153="IA",MAX(M153-O153,0),M153),0)</f>
        <v>5</v>
      </c>
      <c r="AE153" s="21">
        <f t="shared" si="50"/>
        <v>0</v>
      </c>
      <c r="AF153" s="21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1406</v>
      </c>
      <c r="AM153" t="s">
        <v>1074</v>
      </c>
      <c r="AN153" t="s">
        <v>27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1523</v>
      </c>
    </row>
    <row r="154" spans="1:56" x14ac:dyDescent="0.25">
      <c r="A154" s="25" t="s">
        <v>746</v>
      </c>
      <c r="B154" s="25" t="str">
        <f t="shared" ref="B154:B217" si="64">RIGHT(LEFT(A154,3),3)</f>
        <v>F02</v>
      </c>
      <c r="C154" s="25" t="str">
        <f t="shared" ref="C154:C217" si="65">RIGHT(LEFT(A154,5),2)</f>
        <v>LT</v>
      </c>
      <c r="D154" s="25" t="str">
        <f t="shared" ref="D154:D217" si="66">RIGHT(LEFT(A154,7),2)</f>
        <v>01</v>
      </c>
      <c r="E154" s="25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878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39">
        <f t="shared" ref="M154:M217" si="70">_xlfn.NUMBERVALUE(K154&amp;"."&amp;L154,".")</f>
        <v>15</v>
      </c>
      <c r="N154" s="39" t="str">
        <f t="shared" ref="N154:N217" si="71">VLOOKUP(F154,$C$2:$E$11,2,FALSE)</f>
        <v>IA</v>
      </c>
      <c r="O154" s="39">
        <f t="shared" ref="O154:O217" si="72">VLOOKUP(F154,$C$2:$E$11,3,FALSE)</f>
        <v>5</v>
      </c>
      <c r="P154" s="39" t="s">
        <v>602</v>
      </c>
      <c r="Q154" s="39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27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1">
        <f t="shared" si="63"/>
        <v>10</v>
      </c>
      <c r="AE154" s="21">
        <f t="shared" ref="AE154:AE217" si="77">U154/1000000*IF(G154="MEHQ",IF(N154="MEHQ",MAX(M154-O154,0),M154),0)</f>
        <v>0</v>
      </c>
      <c r="AF154" s="21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1407</v>
      </c>
      <c r="AM154" t="s">
        <v>1075</v>
      </c>
      <c r="AN154" t="s">
        <v>27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1523</v>
      </c>
    </row>
    <row r="155" spans="1:56" x14ac:dyDescent="0.25">
      <c r="A155" s="25" t="s">
        <v>747</v>
      </c>
      <c r="B155" s="25" t="str">
        <f t="shared" si="64"/>
        <v>F02</v>
      </c>
      <c r="C155" s="25" t="str">
        <f t="shared" si="65"/>
        <v>LT</v>
      </c>
      <c r="D155" s="25" t="str">
        <f t="shared" si="66"/>
        <v>01</v>
      </c>
      <c r="E155" s="25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878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39">
        <f t="shared" si="70"/>
        <v>16</v>
      </c>
      <c r="N155" s="39" t="str">
        <f t="shared" si="71"/>
        <v>IA</v>
      </c>
      <c r="O155" s="39">
        <f t="shared" si="72"/>
        <v>5</v>
      </c>
      <c r="P155" s="39" t="s">
        <v>602</v>
      </c>
      <c r="Q155" s="39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27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1">
        <f t="shared" si="63"/>
        <v>11</v>
      </c>
      <c r="AE155" s="21">
        <f t="shared" si="77"/>
        <v>0</v>
      </c>
      <c r="AF155" s="21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1408</v>
      </c>
      <c r="AM155" t="s">
        <v>1076</v>
      </c>
      <c r="AN155" t="s">
        <v>27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1523</v>
      </c>
    </row>
    <row r="156" spans="1:56" x14ac:dyDescent="0.25">
      <c r="A156" s="25" t="s">
        <v>748</v>
      </c>
      <c r="B156" s="25" t="str">
        <f t="shared" si="64"/>
        <v>F02</v>
      </c>
      <c r="C156" s="25" t="str">
        <f t="shared" si="65"/>
        <v>LT</v>
      </c>
      <c r="D156" s="25" t="str">
        <f t="shared" si="66"/>
        <v>01</v>
      </c>
      <c r="E156" s="25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878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39">
        <f t="shared" si="70"/>
        <v>18</v>
      </c>
      <c r="N156" s="39" t="str">
        <f t="shared" si="71"/>
        <v>IA</v>
      </c>
      <c r="O156" s="39">
        <f t="shared" si="72"/>
        <v>5</v>
      </c>
      <c r="P156" s="39" t="s">
        <v>602</v>
      </c>
      <c r="Q156" s="39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27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1">
        <f t="shared" si="63"/>
        <v>13</v>
      </c>
      <c r="AE156" s="21">
        <f t="shared" si="77"/>
        <v>0</v>
      </c>
      <c r="AF156" s="21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1409</v>
      </c>
      <c r="AM156" t="s">
        <v>1077</v>
      </c>
      <c r="AN156" t="s">
        <v>27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1523</v>
      </c>
    </row>
    <row r="157" spans="1:56" x14ac:dyDescent="0.25">
      <c r="A157" s="25" t="s">
        <v>749</v>
      </c>
      <c r="B157" s="25" t="str">
        <f t="shared" si="64"/>
        <v>F02</v>
      </c>
      <c r="C157" s="25" t="str">
        <f t="shared" si="65"/>
        <v>LT</v>
      </c>
      <c r="D157" s="25" t="str">
        <f t="shared" si="66"/>
        <v>01</v>
      </c>
      <c r="E157" s="25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878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39">
        <f t="shared" si="70"/>
        <v>20</v>
      </c>
      <c r="N157" s="39" t="str">
        <f t="shared" si="71"/>
        <v>IA</v>
      </c>
      <c r="O157" s="39">
        <f t="shared" si="72"/>
        <v>5</v>
      </c>
      <c r="P157" s="39" t="s">
        <v>602</v>
      </c>
      <c r="Q157" s="39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27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1">
        <f t="shared" si="63"/>
        <v>15</v>
      </c>
      <c r="AE157" s="21">
        <f t="shared" si="77"/>
        <v>0</v>
      </c>
      <c r="AF157" s="21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1410</v>
      </c>
      <c r="AM157" t="s">
        <v>1078</v>
      </c>
      <c r="AN157" t="s">
        <v>27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1523</v>
      </c>
    </row>
    <row r="158" spans="1:56" x14ac:dyDescent="0.25">
      <c r="A158" s="25" t="s">
        <v>750</v>
      </c>
      <c r="B158" s="25" t="str">
        <f t="shared" si="64"/>
        <v>F02</v>
      </c>
      <c r="C158" s="25" t="str">
        <f t="shared" si="65"/>
        <v>LT</v>
      </c>
      <c r="D158" s="25" t="str">
        <f t="shared" si="66"/>
        <v>01</v>
      </c>
      <c r="E158" s="25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878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39">
        <f t="shared" si="70"/>
        <v>30</v>
      </c>
      <c r="N158" s="39" t="str">
        <f t="shared" si="71"/>
        <v>IA</v>
      </c>
      <c r="O158" s="39">
        <f t="shared" si="72"/>
        <v>5</v>
      </c>
      <c r="P158" s="39" t="s">
        <v>602</v>
      </c>
      <c r="Q158" s="39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27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1">
        <f t="shared" si="63"/>
        <v>25</v>
      </c>
      <c r="AE158" s="21">
        <f t="shared" si="77"/>
        <v>0</v>
      </c>
      <c r="AF158" s="21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1411</v>
      </c>
      <c r="AM158" t="s">
        <v>1079</v>
      </c>
      <c r="AN158" t="s">
        <v>27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1523</v>
      </c>
    </row>
    <row r="159" spans="1:56" x14ac:dyDescent="0.25">
      <c r="A159" s="25" t="s">
        <v>751</v>
      </c>
      <c r="B159" s="25" t="str">
        <f t="shared" si="64"/>
        <v>F02</v>
      </c>
      <c r="C159" s="25" t="str">
        <f t="shared" si="65"/>
        <v>LT</v>
      </c>
      <c r="D159" s="25" t="str">
        <f t="shared" si="66"/>
        <v>01</v>
      </c>
      <c r="E159" s="25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878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39">
        <f t="shared" si="70"/>
        <v>50</v>
      </c>
      <c r="N159" s="39" t="str">
        <f t="shared" si="71"/>
        <v>IA</v>
      </c>
      <c r="O159" s="39">
        <f t="shared" si="72"/>
        <v>5</v>
      </c>
      <c r="P159" s="39" t="s">
        <v>602</v>
      </c>
      <c r="Q159" s="39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27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1">
        <f t="shared" si="63"/>
        <v>45</v>
      </c>
      <c r="AE159" s="21">
        <f t="shared" si="77"/>
        <v>0</v>
      </c>
      <c r="AF159" s="21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1412</v>
      </c>
      <c r="AM159" t="s">
        <v>1080</v>
      </c>
      <c r="AN159" t="s">
        <v>27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1523</v>
      </c>
    </row>
    <row r="160" spans="1:56" x14ac:dyDescent="0.25">
      <c r="A160" s="25" t="s">
        <v>752</v>
      </c>
      <c r="B160" s="25" t="str">
        <f t="shared" si="64"/>
        <v>F02</v>
      </c>
      <c r="C160" s="25" t="str">
        <f t="shared" si="65"/>
        <v>T0</v>
      </c>
      <c r="D160" s="25" t="str">
        <f t="shared" si="66"/>
        <v>02</v>
      </c>
      <c r="E160" s="25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878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39">
        <f t="shared" si="70"/>
        <v>15</v>
      </c>
      <c r="N160" s="39" t="str">
        <f t="shared" si="71"/>
        <v>IA</v>
      </c>
      <c r="O160" s="39">
        <f t="shared" si="72"/>
        <v>5</v>
      </c>
      <c r="P160" s="39" t="s">
        <v>602</v>
      </c>
      <c r="Q160" s="39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27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1">
        <f t="shared" si="63"/>
        <v>0</v>
      </c>
      <c r="AE160" s="21">
        <f t="shared" si="77"/>
        <v>15</v>
      </c>
      <c r="AF160" s="21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1413</v>
      </c>
      <c r="AM160" t="s">
        <v>1081</v>
      </c>
      <c r="AN160" t="s">
        <v>27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1525</v>
      </c>
    </row>
    <row r="161" spans="1:56" x14ac:dyDescent="0.25">
      <c r="A161" s="25" t="s">
        <v>753</v>
      </c>
      <c r="B161" s="25" t="str">
        <f t="shared" si="64"/>
        <v>F02</v>
      </c>
      <c r="C161" s="25" t="str">
        <f t="shared" si="65"/>
        <v>T0</v>
      </c>
      <c r="D161" s="25" t="str">
        <f t="shared" si="66"/>
        <v>02</v>
      </c>
      <c r="E161" s="25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878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39">
        <f t="shared" si="70"/>
        <v>25</v>
      </c>
      <c r="N161" s="39" t="str">
        <f t="shared" si="71"/>
        <v>IA</v>
      </c>
      <c r="O161" s="39">
        <f t="shared" si="72"/>
        <v>5</v>
      </c>
      <c r="P161" s="39" t="s">
        <v>602</v>
      </c>
      <c r="Q161" s="39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27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1">
        <f t="shared" si="63"/>
        <v>0</v>
      </c>
      <c r="AE161" s="21">
        <f t="shared" si="77"/>
        <v>25</v>
      </c>
      <c r="AF161" s="21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1414</v>
      </c>
      <c r="AM161" t="s">
        <v>1082</v>
      </c>
      <c r="AN161" t="s">
        <v>27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1525</v>
      </c>
    </row>
    <row r="162" spans="1:56" x14ac:dyDescent="0.25">
      <c r="A162" s="25" t="s">
        <v>754</v>
      </c>
      <c r="B162" s="25" t="str">
        <f t="shared" si="64"/>
        <v>F02</v>
      </c>
      <c r="C162" s="25" t="str">
        <f t="shared" si="65"/>
        <v>T0</v>
      </c>
      <c r="D162" s="25" t="str">
        <f t="shared" si="66"/>
        <v>02</v>
      </c>
      <c r="E162" s="25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878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39">
        <f t="shared" si="70"/>
        <v>40</v>
      </c>
      <c r="N162" s="39" t="str">
        <f t="shared" si="71"/>
        <v>IA</v>
      </c>
      <c r="O162" s="39">
        <f t="shared" si="72"/>
        <v>5</v>
      </c>
      <c r="P162" s="39" t="s">
        <v>602</v>
      </c>
      <c r="Q162" s="39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27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1">
        <f t="shared" si="63"/>
        <v>0</v>
      </c>
      <c r="AE162" s="21">
        <f t="shared" si="77"/>
        <v>40</v>
      </c>
      <c r="AF162" s="21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1415</v>
      </c>
      <c r="AM162" t="s">
        <v>1083</v>
      </c>
      <c r="AN162" t="s">
        <v>27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1525</v>
      </c>
    </row>
    <row r="163" spans="1:56" x14ac:dyDescent="0.25">
      <c r="A163" s="25" t="s">
        <v>755</v>
      </c>
      <c r="B163" s="25" t="str">
        <f t="shared" si="64"/>
        <v>F02</v>
      </c>
      <c r="C163" s="25" t="str">
        <f t="shared" si="65"/>
        <v>T0</v>
      </c>
      <c r="D163" s="25" t="str">
        <f t="shared" si="66"/>
        <v>02</v>
      </c>
      <c r="E163" s="25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878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39">
        <f t="shared" si="70"/>
        <v>100</v>
      </c>
      <c r="N163" s="39" t="str">
        <f t="shared" si="71"/>
        <v>IA</v>
      </c>
      <c r="O163" s="39">
        <f t="shared" si="72"/>
        <v>5</v>
      </c>
      <c r="P163" s="39" t="s">
        <v>602</v>
      </c>
      <c r="Q163" s="39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27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1">
        <f t="shared" si="63"/>
        <v>0</v>
      </c>
      <c r="AE163" s="21">
        <f t="shared" si="77"/>
        <v>100</v>
      </c>
      <c r="AF163" s="21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1416</v>
      </c>
      <c r="AM163" t="s">
        <v>1084</v>
      </c>
      <c r="AN163" t="s">
        <v>27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1525</v>
      </c>
    </row>
    <row r="164" spans="1:56" x14ac:dyDescent="0.25">
      <c r="A164" s="25" t="s">
        <v>756</v>
      </c>
      <c r="B164" s="25" t="str">
        <f t="shared" si="64"/>
        <v>F02</v>
      </c>
      <c r="C164" s="25" t="str">
        <f t="shared" si="65"/>
        <v>T0</v>
      </c>
      <c r="D164" s="25" t="str">
        <f t="shared" si="66"/>
        <v>01</v>
      </c>
      <c r="E164" s="25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878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39">
        <f t="shared" si="70"/>
        <v>5</v>
      </c>
      <c r="N164" s="39" t="str">
        <f t="shared" si="71"/>
        <v>IA</v>
      </c>
      <c r="O164" s="39">
        <f t="shared" si="72"/>
        <v>5</v>
      </c>
      <c r="P164" s="39" t="s">
        <v>602</v>
      </c>
      <c r="Q164" s="39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27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1">
        <f t="shared" si="63"/>
        <v>0</v>
      </c>
      <c r="AE164" s="21">
        <f t="shared" si="77"/>
        <v>0</v>
      </c>
      <c r="AF164" s="21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1417</v>
      </c>
      <c r="AM164" t="s">
        <v>1085</v>
      </c>
      <c r="AN164" t="s">
        <v>27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1525</v>
      </c>
    </row>
    <row r="165" spans="1:56" x14ac:dyDescent="0.25">
      <c r="A165" s="25" t="s">
        <v>757</v>
      </c>
      <c r="B165" s="25" t="str">
        <f t="shared" si="64"/>
        <v>F02</v>
      </c>
      <c r="C165" s="25" t="str">
        <f t="shared" si="65"/>
        <v>T0</v>
      </c>
      <c r="D165" s="25" t="str">
        <f t="shared" si="66"/>
        <v>01</v>
      </c>
      <c r="E165" s="25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878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39">
        <f t="shared" si="70"/>
        <v>6</v>
      </c>
      <c r="N165" s="39" t="str">
        <f t="shared" si="71"/>
        <v>IA</v>
      </c>
      <c r="O165" s="39">
        <f t="shared" si="72"/>
        <v>5</v>
      </c>
      <c r="P165" s="39" t="s">
        <v>602</v>
      </c>
      <c r="Q165" s="39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27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1">
        <f t="shared" si="63"/>
        <v>1</v>
      </c>
      <c r="AE165" s="21">
        <f t="shared" si="77"/>
        <v>0</v>
      </c>
      <c r="AF165" s="21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1418</v>
      </c>
      <c r="AM165" t="s">
        <v>1086</v>
      </c>
      <c r="AN165" t="s">
        <v>27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1525</v>
      </c>
    </row>
    <row r="166" spans="1:56" x14ac:dyDescent="0.25">
      <c r="A166" s="25" t="s">
        <v>758</v>
      </c>
      <c r="B166" s="25" t="str">
        <f t="shared" si="64"/>
        <v>F02</v>
      </c>
      <c r="C166" s="25" t="str">
        <f t="shared" si="65"/>
        <v>T0</v>
      </c>
      <c r="D166" s="25" t="str">
        <f t="shared" si="66"/>
        <v>01</v>
      </c>
      <c r="E166" s="25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878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39">
        <f t="shared" si="70"/>
        <v>7</v>
      </c>
      <c r="N166" s="39" t="str">
        <f t="shared" si="71"/>
        <v>IA</v>
      </c>
      <c r="O166" s="39">
        <f t="shared" si="72"/>
        <v>5</v>
      </c>
      <c r="P166" s="39" t="s">
        <v>602</v>
      </c>
      <c r="Q166" s="39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27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1">
        <f t="shared" si="63"/>
        <v>2</v>
      </c>
      <c r="AE166" s="21">
        <f t="shared" si="77"/>
        <v>0</v>
      </c>
      <c r="AF166" s="21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1419</v>
      </c>
      <c r="AM166" t="s">
        <v>1087</v>
      </c>
      <c r="AN166" t="s">
        <v>27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1525</v>
      </c>
    </row>
    <row r="167" spans="1:56" x14ac:dyDescent="0.25">
      <c r="A167" s="25" t="s">
        <v>759</v>
      </c>
      <c r="B167" s="25" t="str">
        <f t="shared" si="64"/>
        <v>F02</v>
      </c>
      <c r="C167" s="25" t="str">
        <f t="shared" si="65"/>
        <v>T0</v>
      </c>
      <c r="D167" s="25" t="str">
        <f t="shared" si="66"/>
        <v>01</v>
      </c>
      <c r="E167" s="25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878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39">
        <f t="shared" si="70"/>
        <v>10</v>
      </c>
      <c r="N167" s="39" t="str">
        <f t="shared" si="71"/>
        <v>IA</v>
      </c>
      <c r="O167" s="39">
        <f t="shared" si="72"/>
        <v>5</v>
      </c>
      <c r="P167" s="39" t="s">
        <v>602</v>
      </c>
      <c r="Q167" s="39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27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1">
        <f t="shared" si="63"/>
        <v>5</v>
      </c>
      <c r="AE167" s="21">
        <f t="shared" si="77"/>
        <v>0</v>
      </c>
      <c r="AF167" s="21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1420</v>
      </c>
      <c r="AM167" t="s">
        <v>1088</v>
      </c>
      <c r="AN167" t="s">
        <v>27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1525</v>
      </c>
    </row>
    <row r="168" spans="1:56" x14ac:dyDescent="0.25">
      <c r="A168" s="25" t="s">
        <v>760</v>
      </c>
      <c r="B168" s="25" t="str">
        <f t="shared" si="64"/>
        <v>F02</v>
      </c>
      <c r="C168" s="25" t="str">
        <f t="shared" si="65"/>
        <v>T0</v>
      </c>
      <c r="D168" s="25" t="str">
        <f t="shared" si="66"/>
        <v>01</v>
      </c>
      <c r="E168" s="25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878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39">
        <f t="shared" si="70"/>
        <v>12</v>
      </c>
      <c r="N168" s="39" t="str">
        <f t="shared" si="71"/>
        <v>IA</v>
      </c>
      <c r="O168" s="39">
        <f t="shared" si="72"/>
        <v>5</v>
      </c>
      <c r="P168" s="39" t="s">
        <v>602</v>
      </c>
      <c r="Q168" s="39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27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1">
        <f t="shared" si="63"/>
        <v>7</v>
      </c>
      <c r="AE168" s="21">
        <f t="shared" si="77"/>
        <v>0</v>
      </c>
      <c r="AF168" s="21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1421</v>
      </c>
      <c r="AM168" t="s">
        <v>1089</v>
      </c>
      <c r="AN168" t="s">
        <v>27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1525</v>
      </c>
    </row>
    <row r="169" spans="1:56" x14ac:dyDescent="0.25">
      <c r="A169" s="25" t="s">
        <v>761</v>
      </c>
      <c r="B169" s="25" t="str">
        <f t="shared" si="64"/>
        <v>F02</v>
      </c>
      <c r="C169" s="25" t="str">
        <f t="shared" si="65"/>
        <v>T0</v>
      </c>
      <c r="D169" s="25" t="str">
        <f t="shared" si="66"/>
        <v>01</v>
      </c>
      <c r="E169" s="25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878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39">
        <f t="shared" si="70"/>
        <v>13</v>
      </c>
      <c r="N169" s="39" t="str">
        <f t="shared" si="71"/>
        <v>IA</v>
      </c>
      <c r="O169" s="39">
        <f t="shared" si="72"/>
        <v>5</v>
      </c>
      <c r="P169" s="39" t="s">
        <v>602</v>
      </c>
      <c r="Q169" s="39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27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1">
        <f t="shared" si="63"/>
        <v>8</v>
      </c>
      <c r="AE169" s="21">
        <f t="shared" si="77"/>
        <v>0</v>
      </c>
      <c r="AF169" s="21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1422</v>
      </c>
      <c r="AM169" t="s">
        <v>1090</v>
      </c>
      <c r="AN169" t="s">
        <v>27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1525</v>
      </c>
    </row>
    <row r="170" spans="1:56" x14ac:dyDescent="0.25">
      <c r="A170" s="25" t="s">
        <v>762</v>
      </c>
      <c r="B170" s="25" t="str">
        <f t="shared" si="64"/>
        <v>F02</v>
      </c>
      <c r="C170" s="25" t="str">
        <f t="shared" si="65"/>
        <v>T0</v>
      </c>
      <c r="D170" s="25" t="str">
        <f t="shared" si="66"/>
        <v>01</v>
      </c>
      <c r="E170" s="25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878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39">
        <f t="shared" si="70"/>
        <v>15</v>
      </c>
      <c r="N170" s="39" t="str">
        <f t="shared" si="71"/>
        <v>IA</v>
      </c>
      <c r="O170" s="39">
        <f t="shared" si="72"/>
        <v>5</v>
      </c>
      <c r="P170" s="39" t="s">
        <v>602</v>
      </c>
      <c r="Q170" s="39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27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1">
        <f t="shared" si="63"/>
        <v>10</v>
      </c>
      <c r="AE170" s="21">
        <f t="shared" si="77"/>
        <v>0</v>
      </c>
      <c r="AF170" s="21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1423</v>
      </c>
      <c r="AM170" t="s">
        <v>1091</v>
      </c>
      <c r="AN170" t="s">
        <v>27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1525</v>
      </c>
    </row>
    <row r="171" spans="1:56" x14ac:dyDescent="0.25">
      <c r="A171" s="25" t="s">
        <v>763</v>
      </c>
      <c r="B171" s="25" t="str">
        <f t="shared" si="64"/>
        <v>F02</v>
      </c>
      <c r="C171" s="25" t="str">
        <f t="shared" si="65"/>
        <v>T0</v>
      </c>
      <c r="D171" s="25" t="str">
        <f t="shared" si="66"/>
        <v>01</v>
      </c>
      <c r="E171" s="25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878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39">
        <f t="shared" si="70"/>
        <v>17</v>
      </c>
      <c r="N171" s="39" t="str">
        <f t="shared" si="71"/>
        <v>IA</v>
      </c>
      <c r="O171" s="39">
        <f t="shared" si="72"/>
        <v>5</v>
      </c>
      <c r="P171" s="39" t="s">
        <v>602</v>
      </c>
      <c r="Q171" s="39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27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1">
        <f t="shared" si="63"/>
        <v>12</v>
      </c>
      <c r="AE171" s="21">
        <f t="shared" si="77"/>
        <v>0</v>
      </c>
      <c r="AF171" s="21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1424</v>
      </c>
      <c r="AM171" t="s">
        <v>1092</v>
      </c>
      <c r="AN171" t="s">
        <v>27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1525</v>
      </c>
    </row>
    <row r="172" spans="1:56" x14ac:dyDescent="0.25">
      <c r="A172" s="25" t="s">
        <v>764</v>
      </c>
      <c r="B172" s="25" t="str">
        <f t="shared" si="64"/>
        <v>F02</v>
      </c>
      <c r="C172" s="25" t="str">
        <f t="shared" si="65"/>
        <v>T0</v>
      </c>
      <c r="D172" s="25" t="str">
        <f t="shared" si="66"/>
        <v>01</v>
      </c>
      <c r="E172" s="25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878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39">
        <f t="shared" si="70"/>
        <v>20</v>
      </c>
      <c r="N172" s="39" t="str">
        <f t="shared" si="71"/>
        <v>IA</v>
      </c>
      <c r="O172" s="39">
        <f t="shared" si="72"/>
        <v>5</v>
      </c>
      <c r="P172" s="39" t="s">
        <v>602</v>
      </c>
      <c r="Q172" s="39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27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1">
        <f t="shared" si="63"/>
        <v>15</v>
      </c>
      <c r="AE172" s="21">
        <f t="shared" si="77"/>
        <v>0</v>
      </c>
      <c r="AF172" s="21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1425</v>
      </c>
      <c r="AM172" t="s">
        <v>1093</v>
      </c>
      <c r="AN172" t="s">
        <v>27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1525</v>
      </c>
    </row>
    <row r="173" spans="1:56" x14ac:dyDescent="0.25">
      <c r="A173" s="25" t="s">
        <v>765</v>
      </c>
      <c r="B173" s="25" t="str">
        <f t="shared" si="64"/>
        <v>F02</v>
      </c>
      <c r="C173" s="25" t="str">
        <f t="shared" si="65"/>
        <v>T0</v>
      </c>
      <c r="D173" s="25" t="str">
        <f t="shared" si="66"/>
        <v>01</v>
      </c>
      <c r="E173" s="25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878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39">
        <f t="shared" si="70"/>
        <v>23</v>
      </c>
      <c r="N173" s="39" t="str">
        <f t="shared" si="71"/>
        <v>IA</v>
      </c>
      <c r="O173" s="39">
        <f t="shared" si="72"/>
        <v>5</v>
      </c>
      <c r="P173" s="39" t="s">
        <v>602</v>
      </c>
      <c r="Q173" s="39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27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1">
        <f t="shared" si="63"/>
        <v>18</v>
      </c>
      <c r="AE173" s="21">
        <f t="shared" si="77"/>
        <v>0</v>
      </c>
      <c r="AF173" s="21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1426</v>
      </c>
      <c r="AM173" t="s">
        <v>1094</v>
      </c>
      <c r="AN173" t="s">
        <v>27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1525</v>
      </c>
    </row>
    <row r="174" spans="1:56" x14ac:dyDescent="0.25">
      <c r="A174" s="25" t="s">
        <v>766</v>
      </c>
      <c r="B174" s="25" t="str">
        <f t="shared" si="64"/>
        <v>F02</v>
      </c>
      <c r="C174" s="25" t="str">
        <f t="shared" si="65"/>
        <v>T0</v>
      </c>
      <c r="D174" s="25" t="str">
        <f t="shared" si="66"/>
        <v>01</v>
      </c>
      <c r="E174" s="25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878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39">
        <f t="shared" si="70"/>
        <v>30</v>
      </c>
      <c r="N174" s="39" t="str">
        <f t="shared" si="71"/>
        <v>IA</v>
      </c>
      <c r="O174" s="39">
        <f t="shared" si="72"/>
        <v>5</v>
      </c>
      <c r="P174" s="39" t="s">
        <v>602</v>
      </c>
      <c r="Q174" s="39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27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1">
        <f t="shared" si="63"/>
        <v>25</v>
      </c>
      <c r="AE174" s="21">
        <f t="shared" si="77"/>
        <v>0</v>
      </c>
      <c r="AF174" s="21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1427</v>
      </c>
      <c r="AM174" t="s">
        <v>1095</v>
      </c>
      <c r="AN174" t="s">
        <v>27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1525</v>
      </c>
    </row>
    <row r="175" spans="1:56" x14ac:dyDescent="0.25">
      <c r="A175" s="25" t="s">
        <v>767</v>
      </c>
      <c r="B175" s="25" t="str">
        <f t="shared" si="64"/>
        <v>F02</v>
      </c>
      <c r="C175" s="25" t="str">
        <f t="shared" si="65"/>
        <v>T0</v>
      </c>
      <c r="D175" s="25" t="str">
        <f t="shared" si="66"/>
        <v>01</v>
      </c>
      <c r="E175" s="25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878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39">
        <f t="shared" si="70"/>
        <v>45</v>
      </c>
      <c r="N175" s="39" t="str">
        <f t="shared" si="71"/>
        <v>IA</v>
      </c>
      <c r="O175" s="39">
        <f t="shared" si="72"/>
        <v>5</v>
      </c>
      <c r="P175" s="39" t="s">
        <v>602</v>
      </c>
      <c r="Q175" s="39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27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1">
        <f t="shared" si="63"/>
        <v>40</v>
      </c>
      <c r="AE175" s="21">
        <f t="shared" si="77"/>
        <v>0</v>
      </c>
      <c r="AF175" s="21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1428</v>
      </c>
      <c r="AM175" t="s">
        <v>1096</v>
      </c>
      <c r="AN175" t="s">
        <v>27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1525</v>
      </c>
    </row>
    <row r="176" spans="1:56" x14ac:dyDescent="0.25">
      <c r="A176" s="25" t="s">
        <v>768</v>
      </c>
      <c r="B176" s="25" t="str">
        <f t="shared" si="64"/>
        <v>F02</v>
      </c>
      <c r="C176" s="25" t="str">
        <f t="shared" si="65"/>
        <v>T0</v>
      </c>
      <c r="D176" s="25" t="str">
        <f t="shared" si="66"/>
        <v>01</v>
      </c>
      <c r="E176" s="25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878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39">
        <f t="shared" si="70"/>
        <v>50</v>
      </c>
      <c r="N176" s="39" t="str">
        <f t="shared" si="71"/>
        <v>IA</v>
      </c>
      <c r="O176" s="39">
        <f t="shared" si="72"/>
        <v>5</v>
      </c>
      <c r="P176" s="39" t="s">
        <v>602</v>
      </c>
      <c r="Q176" s="39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27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1">
        <f t="shared" si="63"/>
        <v>45</v>
      </c>
      <c r="AE176" s="21">
        <f t="shared" si="77"/>
        <v>0</v>
      </c>
      <c r="AF176" s="21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1429</v>
      </c>
      <c r="AM176" t="s">
        <v>1097</v>
      </c>
      <c r="AN176" t="s">
        <v>27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1525</v>
      </c>
    </row>
    <row r="177" spans="1:56" x14ac:dyDescent="0.25">
      <c r="A177" s="25" t="s">
        <v>769</v>
      </c>
      <c r="B177" s="25" t="str">
        <f t="shared" si="64"/>
        <v>F02</v>
      </c>
      <c r="C177" s="25" t="str">
        <f t="shared" si="65"/>
        <v>T0</v>
      </c>
      <c r="D177" s="25" t="str">
        <f t="shared" si="66"/>
        <v>04</v>
      </c>
      <c r="E177" s="25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878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39">
        <f t="shared" si="70"/>
        <v>25</v>
      </c>
      <c r="N177" s="39" t="str">
        <f t="shared" si="71"/>
        <v>IA</v>
      </c>
      <c r="O177" s="39">
        <f t="shared" si="72"/>
        <v>5</v>
      </c>
      <c r="P177" s="39" t="s">
        <v>602</v>
      </c>
      <c r="Q177" s="39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27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1">
        <f t="shared" si="63"/>
        <v>0</v>
      </c>
      <c r="AE177" s="21">
        <f t="shared" si="77"/>
        <v>0</v>
      </c>
      <c r="AF177" s="21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1430</v>
      </c>
      <c r="AM177" t="s">
        <v>1098</v>
      </c>
      <c r="AN177" t="s">
        <v>27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1525</v>
      </c>
    </row>
    <row r="178" spans="1:56" x14ac:dyDescent="0.25">
      <c r="A178" s="25" t="s">
        <v>770</v>
      </c>
      <c r="B178" s="25" t="str">
        <f t="shared" si="64"/>
        <v>F03</v>
      </c>
      <c r="C178" s="25" t="str">
        <f t="shared" si="65"/>
        <v>DN</v>
      </c>
      <c r="D178" s="25" t="str">
        <f t="shared" si="66"/>
        <v>02</v>
      </c>
      <c r="E178" s="25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878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39">
        <f t="shared" si="70"/>
        <v>10</v>
      </c>
      <c r="N178" s="39" t="str">
        <f t="shared" si="71"/>
        <v>IA</v>
      </c>
      <c r="O178" s="39">
        <f t="shared" si="72"/>
        <v>5</v>
      </c>
      <c r="P178" s="39" t="s">
        <v>923</v>
      </c>
      <c r="Q178" s="39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27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1">
        <f t="shared" si="63"/>
        <v>0</v>
      </c>
      <c r="AE178" s="21">
        <f t="shared" si="77"/>
        <v>9</v>
      </c>
      <c r="AF178" s="21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1431</v>
      </c>
      <c r="AM178" t="s">
        <v>1099</v>
      </c>
      <c r="AN178" t="s">
        <v>27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1521</v>
      </c>
    </row>
    <row r="179" spans="1:56" x14ac:dyDescent="0.25">
      <c r="A179" s="25" t="s">
        <v>771</v>
      </c>
      <c r="B179" s="25" t="str">
        <f t="shared" si="64"/>
        <v>F03</v>
      </c>
      <c r="C179" s="25" t="str">
        <f t="shared" si="65"/>
        <v>DN</v>
      </c>
      <c r="D179" s="25" t="str">
        <f t="shared" si="66"/>
        <v>02</v>
      </c>
      <c r="E179" s="25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878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39">
        <f t="shared" si="70"/>
        <v>17</v>
      </c>
      <c r="N179" s="39" t="str">
        <f t="shared" si="71"/>
        <v>IA</v>
      </c>
      <c r="O179" s="39">
        <f t="shared" si="72"/>
        <v>5</v>
      </c>
      <c r="P179" s="39" t="s">
        <v>923</v>
      </c>
      <c r="Q179" s="39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27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1">
        <f t="shared" si="63"/>
        <v>0</v>
      </c>
      <c r="AE179" s="21">
        <f t="shared" si="77"/>
        <v>15.3</v>
      </c>
      <c r="AF179" s="21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1432</v>
      </c>
      <c r="AM179" t="s">
        <v>1100</v>
      </c>
      <c r="AN179" t="s">
        <v>27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1521</v>
      </c>
    </row>
    <row r="180" spans="1:56" x14ac:dyDescent="0.25">
      <c r="A180" s="25" t="s">
        <v>772</v>
      </c>
      <c r="B180" s="25" t="str">
        <f t="shared" si="64"/>
        <v>F03</v>
      </c>
      <c r="C180" s="25" t="str">
        <f t="shared" si="65"/>
        <v>DN</v>
      </c>
      <c r="D180" s="25" t="str">
        <f t="shared" si="66"/>
        <v>02</v>
      </c>
      <c r="E180" s="25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878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39">
        <f t="shared" si="70"/>
        <v>25</v>
      </c>
      <c r="N180" s="39" t="str">
        <f t="shared" si="71"/>
        <v>IA</v>
      </c>
      <c r="O180" s="39">
        <f t="shared" si="72"/>
        <v>5</v>
      </c>
      <c r="P180" s="39" t="s">
        <v>923</v>
      </c>
      <c r="Q180" s="39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27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1">
        <f t="shared" si="63"/>
        <v>0</v>
      </c>
      <c r="AE180" s="21">
        <f t="shared" si="77"/>
        <v>22.5</v>
      </c>
      <c r="AF180" s="21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1433</v>
      </c>
      <c r="AM180" t="s">
        <v>1101</v>
      </c>
      <c r="AN180" t="s">
        <v>27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1521</v>
      </c>
    </row>
    <row r="181" spans="1:56" x14ac:dyDescent="0.25">
      <c r="A181" s="25" t="s">
        <v>773</v>
      </c>
      <c r="B181" s="25" t="str">
        <f t="shared" si="64"/>
        <v>F03</v>
      </c>
      <c r="C181" s="25" t="str">
        <f t="shared" si="65"/>
        <v>DN</v>
      </c>
      <c r="D181" s="25" t="str">
        <f t="shared" si="66"/>
        <v>02</v>
      </c>
      <c r="E181" s="25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878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39">
        <f t="shared" si="70"/>
        <v>28</v>
      </c>
      <c r="N181" s="39" t="str">
        <f t="shared" si="71"/>
        <v>IA</v>
      </c>
      <c r="O181" s="39">
        <f t="shared" si="72"/>
        <v>5</v>
      </c>
      <c r="P181" s="39" t="s">
        <v>923</v>
      </c>
      <c r="Q181" s="39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27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1">
        <f t="shared" si="63"/>
        <v>0</v>
      </c>
      <c r="AE181" s="21">
        <f t="shared" si="77"/>
        <v>25.2</v>
      </c>
      <c r="AF181" s="21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1434</v>
      </c>
      <c r="AM181" t="s">
        <v>1102</v>
      </c>
      <c r="AN181" t="s">
        <v>27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1521</v>
      </c>
    </row>
    <row r="182" spans="1:56" x14ac:dyDescent="0.25">
      <c r="A182" s="25" t="s">
        <v>774</v>
      </c>
      <c r="B182" s="25" t="str">
        <f t="shared" si="64"/>
        <v>F03</v>
      </c>
      <c r="C182" s="25" t="str">
        <f t="shared" si="65"/>
        <v>DN</v>
      </c>
      <c r="D182" s="25" t="str">
        <f t="shared" si="66"/>
        <v>02</v>
      </c>
      <c r="E182" s="25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878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39">
        <f t="shared" si="70"/>
        <v>50</v>
      </c>
      <c r="N182" s="39" t="str">
        <f t="shared" si="71"/>
        <v>IA</v>
      </c>
      <c r="O182" s="39">
        <f t="shared" si="72"/>
        <v>5</v>
      </c>
      <c r="P182" s="39" t="s">
        <v>923</v>
      </c>
      <c r="Q182" s="39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27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1">
        <f t="shared" si="63"/>
        <v>0</v>
      </c>
      <c r="AE182" s="21">
        <f t="shared" si="77"/>
        <v>45</v>
      </c>
      <c r="AF182" s="21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1435</v>
      </c>
      <c r="AM182" t="s">
        <v>1103</v>
      </c>
      <c r="AN182" t="s">
        <v>27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1521</v>
      </c>
    </row>
    <row r="183" spans="1:56" x14ac:dyDescent="0.25">
      <c r="A183" s="25" t="s">
        <v>775</v>
      </c>
      <c r="B183" s="25" t="str">
        <f t="shared" si="64"/>
        <v>F03</v>
      </c>
      <c r="C183" s="25" t="str">
        <f t="shared" si="65"/>
        <v>DN</v>
      </c>
      <c r="D183" s="25" t="str">
        <f t="shared" si="66"/>
        <v>02</v>
      </c>
      <c r="E183" s="25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878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39">
        <f t="shared" si="70"/>
        <v>100</v>
      </c>
      <c r="N183" s="39" t="str">
        <f t="shared" si="71"/>
        <v>IA</v>
      </c>
      <c r="O183" s="39">
        <f t="shared" si="72"/>
        <v>5</v>
      </c>
      <c r="P183" s="39" t="s">
        <v>923</v>
      </c>
      <c r="Q183" s="39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27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1">
        <f t="shared" si="63"/>
        <v>0</v>
      </c>
      <c r="AE183" s="21">
        <f t="shared" si="77"/>
        <v>90</v>
      </c>
      <c r="AF183" s="21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1436</v>
      </c>
      <c r="AM183" t="s">
        <v>1104</v>
      </c>
      <c r="AN183" t="s">
        <v>27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1521</v>
      </c>
    </row>
    <row r="184" spans="1:56" x14ac:dyDescent="0.25">
      <c r="A184" s="25" t="s">
        <v>776</v>
      </c>
      <c r="B184" s="25" t="str">
        <f t="shared" si="64"/>
        <v>F03</v>
      </c>
      <c r="C184" s="25" t="str">
        <f t="shared" si="65"/>
        <v>DN</v>
      </c>
      <c r="D184" s="25" t="str">
        <f t="shared" si="66"/>
        <v>01</v>
      </c>
      <c r="E184" s="25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878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39">
        <f t="shared" si="70"/>
        <v>5</v>
      </c>
      <c r="N184" s="39" t="str">
        <f t="shared" si="71"/>
        <v>IA</v>
      </c>
      <c r="O184" s="39">
        <f t="shared" si="72"/>
        <v>5</v>
      </c>
      <c r="P184" s="39" t="s">
        <v>923</v>
      </c>
      <c r="Q184" s="39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27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1">
        <f t="shared" si="63"/>
        <v>0</v>
      </c>
      <c r="AE184" s="21">
        <f t="shared" si="77"/>
        <v>0</v>
      </c>
      <c r="AF184" s="21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1437</v>
      </c>
      <c r="AM184" t="s">
        <v>1105</v>
      </c>
      <c r="AN184" t="s">
        <v>27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1521</v>
      </c>
    </row>
    <row r="185" spans="1:56" x14ac:dyDescent="0.25">
      <c r="A185" s="25" t="s">
        <v>777</v>
      </c>
      <c r="B185" s="25" t="str">
        <f t="shared" si="64"/>
        <v>F03</v>
      </c>
      <c r="C185" s="25" t="str">
        <f t="shared" si="65"/>
        <v>DN</v>
      </c>
      <c r="D185" s="25" t="str">
        <f t="shared" si="66"/>
        <v>01</v>
      </c>
      <c r="E185" s="25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878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39">
        <f t="shared" si="70"/>
        <v>15</v>
      </c>
      <c r="N185" s="39" t="str">
        <f t="shared" si="71"/>
        <v>IA</v>
      </c>
      <c r="O185" s="39">
        <f t="shared" si="72"/>
        <v>5</v>
      </c>
      <c r="P185" s="39" t="s">
        <v>923</v>
      </c>
      <c r="Q185" s="39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27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1">
        <f t="shared" si="63"/>
        <v>9</v>
      </c>
      <c r="AE185" s="21">
        <f t="shared" si="77"/>
        <v>0</v>
      </c>
      <c r="AF185" s="21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1438</v>
      </c>
      <c r="AM185" t="s">
        <v>1106</v>
      </c>
      <c r="AN185" t="s">
        <v>27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1521</v>
      </c>
    </row>
    <row r="186" spans="1:56" x14ac:dyDescent="0.25">
      <c r="A186" s="25" t="s">
        <v>778</v>
      </c>
      <c r="B186" s="25" t="str">
        <f t="shared" si="64"/>
        <v>F03</v>
      </c>
      <c r="C186" s="25" t="str">
        <f t="shared" si="65"/>
        <v>I0</v>
      </c>
      <c r="D186" s="25" t="str">
        <f t="shared" si="66"/>
        <v>02</v>
      </c>
      <c r="E186" s="25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878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39">
        <f t="shared" si="70"/>
        <v>50</v>
      </c>
      <c r="N186" s="39" t="str">
        <f t="shared" si="71"/>
        <v>IA</v>
      </c>
      <c r="O186" s="39">
        <f t="shared" si="72"/>
        <v>5</v>
      </c>
      <c r="P186" s="39" t="s">
        <v>923</v>
      </c>
      <c r="Q186" s="39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27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1">
        <f t="shared" si="63"/>
        <v>0</v>
      </c>
      <c r="AE186" s="21">
        <f t="shared" si="77"/>
        <v>50</v>
      </c>
      <c r="AF186" s="21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1439</v>
      </c>
      <c r="AM186" t="s">
        <v>1107</v>
      </c>
      <c r="AN186" t="s">
        <v>27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1522</v>
      </c>
    </row>
    <row r="187" spans="1:56" x14ac:dyDescent="0.25">
      <c r="A187" s="25" t="s">
        <v>779</v>
      </c>
      <c r="B187" s="25" t="str">
        <f t="shared" si="64"/>
        <v>F03</v>
      </c>
      <c r="C187" s="25" t="str">
        <f t="shared" si="65"/>
        <v>I0</v>
      </c>
      <c r="D187" s="25" t="str">
        <f t="shared" si="66"/>
        <v>02</v>
      </c>
      <c r="E187" s="25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878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39">
        <f t="shared" si="70"/>
        <v>100</v>
      </c>
      <c r="N187" s="39" t="str">
        <f t="shared" si="71"/>
        <v>IA</v>
      </c>
      <c r="O187" s="39">
        <f t="shared" si="72"/>
        <v>5</v>
      </c>
      <c r="P187" s="39" t="s">
        <v>923</v>
      </c>
      <c r="Q187" s="39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27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1">
        <f t="shared" si="63"/>
        <v>0</v>
      </c>
      <c r="AE187" s="21">
        <f t="shared" si="77"/>
        <v>100</v>
      </c>
      <c r="AF187" s="21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1440</v>
      </c>
      <c r="AM187" t="s">
        <v>1108</v>
      </c>
      <c r="AN187" t="s">
        <v>27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1522</v>
      </c>
    </row>
    <row r="188" spans="1:56" x14ac:dyDescent="0.25">
      <c r="A188" s="25" t="s">
        <v>780</v>
      </c>
      <c r="B188" s="25" t="str">
        <f t="shared" si="64"/>
        <v>F03</v>
      </c>
      <c r="C188" s="25" t="str">
        <f t="shared" si="65"/>
        <v>LT</v>
      </c>
      <c r="D188" s="25" t="str">
        <f t="shared" si="66"/>
        <v>02</v>
      </c>
      <c r="E188" s="25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878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39">
        <f t="shared" si="70"/>
        <v>25</v>
      </c>
      <c r="N188" s="39" t="str">
        <f t="shared" si="71"/>
        <v>IA</v>
      </c>
      <c r="O188" s="39">
        <f t="shared" si="72"/>
        <v>5</v>
      </c>
      <c r="P188" s="39" t="s">
        <v>923</v>
      </c>
      <c r="Q188" s="39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27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1">
        <f t="shared" si="63"/>
        <v>0</v>
      </c>
      <c r="AE188" s="21">
        <f t="shared" si="77"/>
        <v>25</v>
      </c>
      <c r="AF188" s="21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1441</v>
      </c>
      <c r="AM188" t="s">
        <v>1109</v>
      </c>
      <c r="AN188" t="s">
        <v>27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1523</v>
      </c>
    </row>
    <row r="189" spans="1:56" x14ac:dyDescent="0.25">
      <c r="A189" s="25" t="s">
        <v>781</v>
      </c>
      <c r="B189" s="25" t="str">
        <f t="shared" si="64"/>
        <v>F03</v>
      </c>
      <c r="C189" s="25" t="str">
        <f t="shared" si="65"/>
        <v>LT</v>
      </c>
      <c r="D189" s="25" t="str">
        <f t="shared" si="66"/>
        <v>02</v>
      </c>
      <c r="E189" s="25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878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39">
        <f t="shared" si="70"/>
        <v>100</v>
      </c>
      <c r="N189" s="39" t="str">
        <f t="shared" si="71"/>
        <v>IA</v>
      </c>
      <c r="O189" s="39">
        <f t="shared" si="72"/>
        <v>5</v>
      </c>
      <c r="P189" s="39" t="s">
        <v>923</v>
      </c>
      <c r="Q189" s="39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27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1">
        <f t="shared" si="63"/>
        <v>0</v>
      </c>
      <c r="AE189" s="21">
        <f t="shared" si="77"/>
        <v>100</v>
      </c>
      <c r="AF189" s="21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1442</v>
      </c>
      <c r="AM189" t="s">
        <v>1110</v>
      </c>
      <c r="AN189" t="s">
        <v>27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1523</v>
      </c>
    </row>
    <row r="190" spans="1:56" x14ac:dyDescent="0.25">
      <c r="A190" s="25" t="s">
        <v>782</v>
      </c>
      <c r="B190" s="25" t="str">
        <f t="shared" si="64"/>
        <v>F03</v>
      </c>
      <c r="C190" s="25" t="str">
        <f t="shared" si="65"/>
        <v>T0</v>
      </c>
      <c r="D190" s="25" t="str">
        <f t="shared" si="66"/>
        <v>02</v>
      </c>
      <c r="E190" s="25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878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39">
        <f t="shared" si="70"/>
        <v>10</v>
      </c>
      <c r="N190" s="39" t="str">
        <f t="shared" si="71"/>
        <v>IA</v>
      </c>
      <c r="O190" s="39">
        <f t="shared" si="72"/>
        <v>5</v>
      </c>
      <c r="P190" s="39" t="s">
        <v>923</v>
      </c>
      <c r="Q190" s="39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27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1">
        <f t="shared" si="63"/>
        <v>0</v>
      </c>
      <c r="AE190" s="21">
        <f t="shared" si="77"/>
        <v>10</v>
      </c>
      <c r="AF190" s="21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1443</v>
      </c>
      <c r="AM190" t="s">
        <v>1111</v>
      </c>
      <c r="AN190" t="s">
        <v>27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1525</v>
      </c>
    </row>
    <row r="191" spans="1:56" x14ac:dyDescent="0.25">
      <c r="A191" s="25" t="s">
        <v>783</v>
      </c>
      <c r="B191" s="25" t="str">
        <f t="shared" si="64"/>
        <v>F03</v>
      </c>
      <c r="C191" s="25" t="str">
        <f t="shared" si="65"/>
        <v>T0</v>
      </c>
      <c r="D191" s="25" t="str">
        <f t="shared" si="66"/>
        <v>02</v>
      </c>
      <c r="E191" s="25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878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39">
        <f t="shared" si="70"/>
        <v>17</v>
      </c>
      <c r="N191" s="39" t="str">
        <f t="shared" si="71"/>
        <v>IA</v>
      </c>
      <c r="O191" s="39">
        <f t="shared" si="72"/>
        <v>5</v>
      </c>
      <c r="P191" s="39" t="s">
        <v>923</v>
      </c>
      <c r="Q191" s="39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27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1">
        <f t="shared" si="63"/>
        <v>0</v>
      </c>
      <c r="AE191" s="21">
        <f t="shared" si="77"/>
        <v>17</v>
      </c>
      <c r="AF191" s="21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1444</v>
      </c>
      <c r="AM191" t="s">
        <v>1112</v>
      </c>
      <c r="AN191" t="s">
        <v>27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1525</v>
      </c>
    </row>
    <row r="192" spans="1:56" x14ac:dyDescent="0.25">
      <c r="A192" s="25" t="s">
        <v>784</v>
      </c>
      <c r="B192" s="25" t="str">
        <f t="shared" si="64"/>
        <v>F03</v>
      </c>
      <c r="C192" s="25" t="str">
        <f t="shared" si="65"/>
        <v>T0</v>
      </c>
      <c r="D192" s="25" t="str">
        <f t="shared" si="66"/>
        <v>02</v>
      </c>
      <c r="E192" s="25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878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39">
        <f t="shared" si="70"/>
        <v>20</v>
      </c>
      <c r="N192" s="39" t="str">
        <f t="shared" si="71"/>
        <v>IA</v>
      </c>
      <c r="O192" s="39">
        <f t="shared" si="72"/>
        <v>5</v>
      </c>
      <c r="P192" s="39" t="s">
        <v>923</v>
      </c>
      <c r="Q192" s="39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27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1">
        <f t="shared" si="63"/>
        <v>0</v>
      </c>
      <c r="AE192" s="21">
        <f t="shared" si="77"/>
        <v>20</v>
      </c>
      <c r="AF192" s="21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1445</v>
      </c>
      <c r="AM192" t="s">
        <v>1113</v>
      </c>
      <c r="AN192" t="s">
        <v>27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1525</v>
      </c>
    </row>
    <row r="193" spans="1:56" x14ac:dyDescent="0.25">
      <c r="A193" s="25" t="s">
        <v>785</v>
      </c>
      <c r="B193" s="25" t="str">
        <f t="shared" si="64"/>
        <v>F03</v>
      </c>
      <c r="C193" s="25" t="str">
        <f t="shared" si="65"/>
        <v>T0</v>
      </c>
      <c r="D193" s="25" t="str">
        <f t="shared" si="66"/>
        <v>02</v>
      </c>
      <c r="E193" s="25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878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39">
        <f t="shared" si="70"/>
        <v>25</v>
      </c>
      <c r="N193" s="39" t="str">
        <f t="shared" si="71"/>
        <v>IA</v>
      </c>
      <c r="O193" s="39">
        <f t="shared" si="72"/>
        <v>5</v>
      </c>
      <c r="P193" s="39" t="s">
        <v>923</v>
      </c>
      <c r="Q193" s="39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27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1">
        <f t="shared" si="63"/>
        <v>0</v>
      </c>
      <c r="AE193" s="21">
        <f t="shared" si="77"/>
        <v>25</v>
      </c>
      <c r="AF193" s="21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1446</v>
      </c>
      <c r="AM193" t="s">
        <v>1114</v>
      </c>
      <c r="AN193" t="s">
        <v>27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1525</v>
      </c>
    </row>
    <row r="194" spans="1:56" x14ac:dyDescent="0.25">
      <c r="A194" s="25" t="s">
        <v>786</v>
      </c>
      <c r="B194" s="25" t="str">
        <f t="shared" si="64"/>
        <v>F03</v>
      </c>
      <c r="C194" s="25" t="str">
        <f t="shared" si="65"/>
        <v>T0</v>
      </c>
      <c r="D194" s="25" t="str">
        <f t="shared" si="66"/>
        <v>02</v>
      </c>
      <c r="E194" s="25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878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39">
        <f t="shared" si="70"/>
        <v>50</v>
      </c>
      <c r="N194" s="39" t="str">
        <f t="shared" si="71"/>
        <v>IA</v>
      </c>
      <c r="O194" s="39">
        <f t="shared" si="72"/>
        <v>5</v>
      </c>
      <c r="P194" s="39" t="s">
        <v>923</v>
      </c>
      <c r="Q194" s="39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27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1">
        <f t="shared" si="63"/>
        <v>0</v>
      </c>
      <c r="AE194" s="21">
        <f t="shared" si="77"/>
        <v>50</v>
      </c>
      <c r="AF194" s="21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1447</v>
      </c>
      <c r="AM194" t="s">
        <v>1115</v>
      </c>
      <c r="AN194" t="s">
        <v>27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1525</v>
      </c>
    </row>
    <row r="195" spans="1:56" x14ac:dyDescent="0.25">
      <c r="A195" s="25" t="s">
        <v>787</v>
      </c>
      <c r="B195" s="25" t="str">
        <f t="shared" si="64"/>
        <v>F03</v>
      </c>
      <c r="C195" s="25" t="str">
        <f t="shared" si="65"/>
        <v>T0</v>
      </c>
      <c r="D195" s="25" t="str">
        <f t="shared" si="66"/>
        <v>02</v>
      </c>
      <c r="E195" s="25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878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39">
        <f t="shared" si="70"/>
        <v>100</v>
      </c>
      <c r="N195" s="39" t="str">
        <f t="shared" si="71"/>
        <v>IA</v>
      </c>
      <c r="O195" s="39">
        <f t="shared" si="72"/>
        <v>5</v>
      </c>
      <c r="P195" s="39" t="s">
        <v>923</v>
      </c>
      <c r="Q195" s="39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27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1">
        <f t="shared" si="63"/>
        <v>0</v>
      </c>
      <c r="AE195" s="21">
        <f t="shared" si="77"/>
        <v>100</v>
      </c>
      <c r="AF195" s="21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1448</v>
      </c>
      <c r="AM195" t="s">
        <v>1116</v>
      </c>
      <c r="AN195" t="s">
        <v>27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1525</v>
      </c>
    </row>
    <row r="196" spans="1:56" x14ac:dyDescent="0.25">
      <c r="A196" s="25" t="s">
        <v>788</v>
      </c>
      <c r="B196" s="25" t="str">
        <f t="shared" si="64"/>
        <v>F03</v>
      </c>
      <c r="C196" s="25" t="str">
        <f t="shared" si="65"/>
        <v>T0</v>
      </c>
      <c r="D196" s="25" t="str">
        <f t="shared" si="66"/>
        <v>01</v>
      </c>
      <c r="E196" s="25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878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39">
        <f t="shared" si="70"/>
        <v>5</v>
      </c>
      <c r="N196" s="39" t="str">
        <f t="shared" si="71"/>
        <v>IA</v>
      </c>
      <c r="O196" s="39">
        <f t="shared" si="72"/>
        <v>5</v>
      </c>
      <c r="P196" s="39" t="s">
        <v>923</v>
      </c>
      <c r="Q196" s="39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27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1">
        <f t="shared" si="63"/>
        <v>0</v>
      </c>
      <c r="AE196" s="21">
        <f t="shared" si="77"/>
        <v>0</v>
      </c>
      <c r="AF196" s="21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1449</v>
      </c>
      <c r="AM196" t="s">
        <v>1117</v>
      </c>
      <c r="AN196" t="s">
        <v>27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1525</v>
      </c>
    </row>
    <row r="197" spans="1:56" x14ac:dyDescent="0.25">
      <c r="A197" s="25" t="s">
        <v>789</v>
      </c>
      <c r="B197" s="25" t="str">
        <f t="shared" si="64"/>
        <v>F03</v>
      </c>
      <c r="C197" s="25" t="str">
        <f t="shared" si="65"/>
        <v>T0</v>
      </c>
      <c r="D197" s="25" t="str">
        <f t="shared" si="66"/>
        <v>01</v>
      </c>
      <c r="E197" s="25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878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39">
        <f t="shared" si="70"/>
        <v>20</v>
      </c>
      <c r="N197" s="39" t="str">
        <f t="shared" si="71"/>
        <v>IA</v>
      </c>
      <c r="O197" s="39">
        <f t="shared" si="72"/>
        <v>5</v>
      </c>
      <c r="P197" s="39" t="s">
        <v>923</v>
      </c>
      <c r="Q197" s="39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27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1">
        <f t="shared" si="63"/>
        <v>15</v>
      </c>
      <c r="AE197" s="21">
        <f t="shared" si="77"/>
        <v>0</v>
      </c>
      <c r="AF197" s="21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1450</v>
      </c>
      <c r="AM197" t="s">
        <v>1118</v>
      </c>
      <c r="AN197" t="s">
        <v>27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1525</v>
      </c>
    </row>
    <row r="198" spans="1:56" x14ac:dyDescent="0.25">
      <c r="A198" s="25" t="s">
        <v>790</v>
      </c>
      <c r="B198" s="25" t="str">
        <f t="shared" si="64"/>
        <v>F03</v>
      </c>
      <c r="C198" s="25" t="str">
        <f t="shared" si="65"/>
        <v>T0</v>
      </c>
      <c r="D198" s="25" t="str">
        <f t="shared" si="66"/>
        <v>01</v>
      </c>
      <c r="E198" s="25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878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39">
        <f t="shared" si="70"/>
        <v>100</v>
      </c>
      <c r="N198" s="39" t="str">
        <f t="shared" si="71"/>
        <v>IA</v>
      </c>
      <c r="O198" s="39">
        <f t="shared" si="72"/>
        <v>5</v>
      </c>
      <c r="P198" s="39" t="s">
        <v>923</v>
      </c>
      <c r="Q198" s="39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27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1">
        <f t="shared" si="63"/>
        <v>95</v>
      </c>
      <c r="AE198" s="21">
        <f t="shared" si="77"/>
        <v>0</v>
      </c>
      <c r="AF198" s="21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1451</v>
      </c>
      <c r="AM198" t="s">
        <v>1119</v>
      </c>
      <c r="AN198" t="s">
        <v>27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1525</v>
      </c>
    </row>
    <row r="199" spans="1:56" x14ac:dyDescent="0.25">
      <c r="A199" s="25" t="s">
        <v>791</v>
      </c>
      <c r="B199" s="25" t="str">
        <f t="shared" si="64"/>
        <v>F04</v>
      </c>
      <c r="C199" s="25" t="str">
        <f t="shared" si="65"/>
        <v>DN</v>
      </c>
      <c r="D199" s="25" t="str">
        <f t="shared" si="66"/>
        <v>02</v>
      </c>
      <c r="E199" s="25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878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39">
        <f t="shared" si="70"/>
        <v>10</v>
      </c>
      <c r="N199" s="39" t="str">
        <f t="shared" si="71"/>
        <v>IA</v>
      </c>
      <c r="O199" s="39">
        <f t="shared" si="72"/>
        <v>5</v>
      </c>
      <c r="P199" s="39" t="s">
        <v>923</v>
      </c>
      <c r="Q199" s="39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27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1">
        <f t="shared" si="63"/>
        <v>0</v>
      </c>
      <c r="AE199" s="21">
        <f t="shared" si="77"/>
        <v>9</v>
      </c>
      <c r="AF199" s="21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1452</v>
      </c>
      <c r="AM199" t="s">
        <v>1120</v>
      </c>
      <c r="AN199" t="s">
        <v>27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1521</v>
      </c>
    </row>
    <row r="200" spans="1:56" x14ac:dyDescent="0.25">
      <c r="A200" s="25" t="s">
        <v>792</v>
      </c>
      <c r="B200" s="25" t="str">
        <f t="shared" si="64"/>
        <v>F04</v>
      </c>
      <c r="C200" s="25" t="str">
        <f t="shared" si="65"/>
        <v>DN</v>
      </c>
      <c r="D200" s="25" t="str">
        <f t="shared" si="66"/>
        <v>02</v>
      </c>
      <c r="E200" s="25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878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39">
        <f t="shared" si="70"/>
        <v>15</v>
      </c>
      <c r="N200" s="39" t="str">
        <f t="shared" si="71"/>
        <v>IA</v>
      </c>
      <c r="O200" s="39">
        <f t="shared" si="72"/>
        <v>5</v>
      </c>
      <c r="P200" s="39" t="s">
        <v>923</v>
      </c>
      <c r="Q200" s="39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27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1">
        <f t="shared" si="63"/>
        <v>0</v>
      </c>
      <c r="AE200" s="21">
        <f t="shared" si="77"/>
        <v>13.5</v>
      </c>
      <c r="AF200" s="21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1453</v>
      </c>
      <c r="AM200" t="s">
        <v>1121</v>
      </c>
      <c r="AN200" t="s">
        <v>27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1521</v>
      </c>
    </row>
    <row r="201" spans="1:56" x14ac:dyDescent="0.25">
      <c r="A201" s="25" t="s">
        <v>793</v>
      </c>
      <c r="B201" s="25" t="str">
        <f t="shared" si="64"/>
        <v>F04</v>
      </c>
      <c r="C201" s="25" t="str">
        <f t="shared" si="65"/>
        <v>DN</v>
      </c>
      <c r="D201" s="25" t="str">
        <f t="shared" si="66"/>
        <v>02</v>
      </c>
      <c r="E201" s="25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878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39">
        <f t="shared" si="70"/>
        <v>17</v>
      </c>
      <c r="N201" s="39" t="str">
        <f t="shared" si="71"/>
        <v>IA</v>
      </c>
      <c r="O201" s="39">
        <f t="shared" si="72"/>
        <v>5</v>
      </c>
      <c r="P201" s="39" t="s">
        <v>923</v>
      </c>
      <c r="Q201" s="39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27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1">
        <f t="shared" si="63"/>
        <v>0</v>
      </c>
      <c r="AE201" s="21">
        <f t="shared" si="77"/>
        <v>15.3</v>
      </c>
      <c r="AF201" s="21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1454</v>
      </c>
      <c r="AM201" t="s">
        <v>1122</v>
      </c>
      <c r="AN201" t="s">
        <v>27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1521</v>
      </c>
    </row>
    <row r="202" spans="1:56" x14ac:dyDescent="0.25">
      <c r="A202" s="25" t="s">
        <v>794</v>
      </c>
      <c r="B202" s="25" t="str">
        <f t="shared" si="64"/>
        <v>F04</v>
      </c>
      <c r="C202" s="25" t="str">
        <f t="shared" si="65"/>
        <v>DN</v>
      </c>
      <c r="D202" s="25" t="str">
        <f t="shared" si="66"/>
        <v>02</v>
      </c>
      <c r="E202" s="25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878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39">
        <f t="shared" si="70"/>
        <v>20</v>
      </c>
      <c r="N202" s="39" t="str">
        <f t="shared" si="71"/>
        <v>IA</v>
      </c>
      <c r="O202" s="39">
        <f t="shared" si="72"/>
        <v>5</v>
      </c>
      <c r="P202" s="39" t="s">
        <v>923</v>
      </c>
      <c r="Q202" s="39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27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1">
        <f t="shared" si="63"/>
        <v>0</v>
      </c>
      <c r="AE202" s="21">
        <f t="shared" si="77"/>
        <v>18</v>
      </c>
      <c r="AF202" s="21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1455</v>
      </c>
      <c r="AM202" t="s">
        <v>1123</v>
      </c>
      <c r="AN202" t="s">
        <v>27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1521</v>
      </c>
    </row>
    <row r="203" spans="1:56" x14ac:dyDescent="0.25">
      <c r="A203" s="25" t="s">
        <v>795</v>
      </c>
      <c r="B203" s="25" t="str">
        <f t="shared" si="64"/>
        <v>F04</v>
      </c>
      <c r="C203" s="25" t="str">
        <f t="shared" si="65"/>
        <v>DN</v>
      </c>
      <c r="D203" s="25" t="str">
        <f t="shared" si="66"/>
        <v>02</v>
      </c>
      <c r="E203" s="25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878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39">
        <f t="shared" si="70"/>
        <v>25</v>
      </c>
      <c r="N203" s="39" t="str">
        <f t="shared" si="71"/>
        <v>IA</v>
      </c>
      <c r="O203" s="39">
        <f t="shared" si="72"/>
        <v>5</v>
      </c>
      <c r="P203" s="39" t="s">
        <v>923</v>
      </c>
      <c r="Q203" s="39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27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1">
        <f t="shared" si="63"/>
        <v>0</v>
      </c>
      <c r="AE203" s="21">
        <f t="shared" si="77"/>
        <v>22.5</v>
      </c>
      <c r="AF203" s="21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1456</v>
      </c>
      <c r="AM203" t="s">
        <v>1124</v>
      </c>
      <c r="AN203" t="s">
        <v>27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1521</v>
      </c>
    </row>
    <row r="204" spans="1:56" x14ac:dyDescent="0.25">
      <c r="A204" s="25" t="s">
        <v>796</v>
      </c>
      <c r="B204" s="25" t="str">
        <f t="shared" si="64"/>
        <v>F04</v>
      </c>
      <c r="C204" s="25" t="str">
        <f t="shared" si="65"/>
        <v>DN</v>
      </c>
      <c r="D204" s="25" t="str">
        <f t="shared" si="66"/>
        <v>02</v>
      </c>
      <c r="E204" s="25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878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39">
        <f t="shared" si="70"/>
        <v>50</v>
      </c>
      <c r="N204" s="39" t="str">
        <f t="shared" si="71"/>
        <v>IA</v>
      </c>
      <c r="O204" s="39">
        <f t="shared" si="72"/>
        <v>5</v>
      </c>
      <c r="P204" s="39" t="s">
        <v>923</v>
      </c>
      <c r="Q204" s="39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27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1">
        <f t="shared" si="63"/>
        <v>0</v>
      </c>
      <c r="AE204" s="21">
        <f t="shared" si="77"/>
        <v>45</v>
      </c>
      <c r="AF204" s="21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1457</v>
      </c>
      <c r="AM204" t="s">
        <v>1125</v>
      </c>
      <c r="AN204" t="s">
        <v>27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1521</v>
      </c>
    </row>
    <row r="205" spans="1:56" x14ac:dyDescent="0.25">
      <c r="A205" s="25" t="s">
        <v>797</v>
      </c>
      <c r="B205" s="25" t="str">
        <f t="shared" si="64"/>
        <v>F04</v>
      </c>
      <c r="C205" s="25" t="str">
        <f t="shared" si="65"/>
        <v>DN</v>
      </c>
      <c r="D205" s="25" t="str">
        <f t="shared" si="66"/>
        <v>02</v>
      </c>
      <c r="E205" s="25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878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39">
        <f t="shared" si="70"/>
        <v>100</v>
      </c>
      <c r="N205" s="39" t="str">
        <f t="shared" si="71"/>
        <v>IA</v>
      </c>
      <c r="O205" s="39">
        <f t="shared" si="72"/>
        <v>5</v>
      </c>
      <c r="P205" s="39" t="s">
        <v>923</v>
      </c>
      <c r="Q205" s="39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27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1">
        <f t="shared" si="63"/>
        <v>0</v>
      </c>
      <c r="AE205" s="21">
        <f t="shared" si="77"/>
        <v>90</v>
      </c>
      <c r="AF205" s="21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1458</v>
      </c>
      <c r="AM205" t="s">
        <v>1126</v>
      </c>
      <c r="AN205" t="s">
        <v>27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1521</v>
      </c>
    </row>
    <row r="206" spans="1:56" x14ac:dyDescent="0.25">
      <c r="A206" s="25" t="s">
        <v>798</v>
      </c>
      <c r="B206" s="25" t="str">
        <f t="shared" si="64"/>
        <v>F04</v>
      </c>
      <c r="C206" s="25" t="str">
        <f t="shared" si="65"/>
        <v>DN</v>
      </c>
      <c r="D206" s="25" t="str">
        <f t="shared" si="66"/>
        <v>01</v>
      </c>
      <c r="E206" s="25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878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39">
        <f t="shared" si="70"/>
        <v>15</v>
      </c>
      <c r="N206" s="39" t="str">
        <f t="shared" si="71"/>
        <v>IA</v>
      </c>
      <c r="O206" s="39">
        <f t="shared" si="72"/>
        <v>5</v>
      </c>
      <c r="P206" s="39" t="s">
        <v>923</v>
      </c>
      <c r="Q206" s="39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27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1">
        <f t="shared" si="63"/>
        <v>9</v>
      </c>
      <c r="AE206" s="21">
        <f t="shared" si="77"/>
        <v>0</v>
      </c>
      <c r="AF206" s="21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1459</v>
      </c>
      <c r="AM206" t="s">
        <v>1127</v>
      </c>
      <c r="AN206" t="s">
        <v>27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1521</v>
      </c>
    </row>
    <row r="207" spans="1:56" x14ac:dyDescent="0.25">
      <c r="A207" s="25" t="s">
        <v>799</v>
      </c>
      <c r="B207" s="25" t="str">
        <f t="shared" si="64"/>
        <v>F04</v>
      </c>
      <c r="C207" s="25" t="str">
        <f t="shared" si="65"/>
        <v>DN</v>
      </c>
      <c r="D207" s="25" t="str">
        <f t="shared" si="66"/>
        <v>04</v>
      </c>
      <c r="E207" s="25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878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39">
        <f t="shared" si="70"/>
        <v>100</v>
      </c>
      <c r="N207" s="39" t="str">
        <f t="shared" si="71"/>
        <v>IA</v>
      </c>
      <c r="O207" s="39">
        <f t="shared" si="72"/>
        <v>5</v>
      </c>
      <c r="P207" s="39" t="s">
        <v>923</v>
      </c>
      <c r="Q207" s="39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27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1">
        <f t="shared" si="63"/>
        <v>0</v>
      </c>
      <c r="AE207" s="21">
        <f t="shared" si="77"/>
        <v>0</v>
      </c>
      <c r="AF207" s="21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1460</v>
      </c>
      <c r="AM207" t="s">
        <v>1128</v>
      </c>
      <c r="AN207" t="s">
        <v>27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1521</v>
      </c>
    </row>
    <row r="208" spans="1:56" x14ac:dyDescent="0.25">
      <c r="A208" s="25" t="s">
        <v>800</v>
      </c>
      <c r="B208" s="25" t="str">
        <f t="shared" si="64"/>
        <v>F04</v>
      </c>
      <c r="C208" s="25" t="str">
        <f t="shared" si="65"/>
        <v>I0</v>
      </c>
      <c r="D208" s="25" t="str">
        <f t="shared" si="66"/>
        <v>02</v>
      </c>
      <c r="E208" s="25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878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39">
        <f t="shared" si="70"/>
        <v>100</v>
      </c>
      <c r="N208" s="39" t="str">
        <f t="shared" si="71"/>
        <v>IA</v>
      </c>
      <c r="O208" s="39">
        <f t="shared" si="72"/>
        <v>5</v>
      </c>
      <c r="P208" s="39" t="s">
        <v>923</v>
      </c>
      <c r="Q208" s="39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27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1">
        <f t="shared" si="63"/>
        <v>0</v>
      </c>
      <c r="AE208" s="21">
        <f t="shared" si="77"/>
        <v>100</v>
      </c>
      <c r="AF208" s="21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1461</v>
      </c>
      <c r="AM208" t="s">
        <v>1129</v>
      </c>
      <c r="AN208" t="s">
        <v>27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1522</v>
      </c>
    </row>
    <row r="209" spans="1:56" x14ac:dyDescent="0.25">
      <c r="A209" s="25" t="s">
        <v>801</v>
      </c>
      <c r="B209" s="25" t="str">
        <f t="shared" si="64"/>
        <v>F04</v>
      </c>
      <c r="C209" s="25" t="str">
        <f t="shared" si="65"/>
        <v>LT</v>
      </c>
      <c r="D209" s="25" t="str">
        <f t="shared" si="66"/>
        <v>02</v>
      </c>
      <c r="E209" s="25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878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39">
        <f t="shared" si="70"/>
        <v>25</v>
      </c>
      <c r="N209" s="39" t="str">
        <f t="shared" si="71"/>
        <v>IA</v>
      </c>
      <c r="O209" s="39">
        <f t="shared" si="72"/>
        <v>5</v>
      </c>
      <c r="P209" s="39" t="s">
        <v>923</v>
      </c>
      <c r="Q209" s="39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27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1">
        <f t="shared" si="63"/>
        <v>0</v>
      </c>
      <c r="AE209" s="21">
        <f t="shared" si="77"/>
        <v>25</v>
      </c>
      <c r="AF209" s="21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1462</v>
      </c>
      <c r="AM209" t="s">
        <v>1130</v>
      </c>
      <c r="AN209" t="s">
        <v>27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1523</v>
      </c>
    </row>
    <row r="210" spans="1:56" x14ac:dyDescent="0.25">
      <c r="A210" s="25" t="s">
        <v>802</v>
      </c>
      <c r="B210" s="25" t="str">
        <f t="shared" si="64"/>
        <v>F04</v>
      </c>
      <c r="C210" s="25" t="str">
        <f t="shared" si="65"/>
        <v>LT</v>
      </c>
      <c r="D210" s="25" t="str">
        <f t="shared" si="66"/>
        <v>02</v>
      </c>
      <c r="E210" s="25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878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39">
        <f t="shared" si="70"/>
        <v>100</v>
      </c>
      <c r="N210" s="39" t="str">
        <f t="shared" si="71"/>
        <v>IA</v>
      </c>
      <c r="O210" s="39">
        <f t="shared" si="72"/>
        <v>5</v>
      </c>
      <c r="P210" s="39" t="s">
        <v>923</v>
      </c>
      <c r="Q210" s="39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27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1">
        <f t="shared" si="63"/>
        <v>0</v>
      </c>
      <c r="AE210" s="21">
        <f t="shared" si="77"/>
        <v>100</v>
      </c>
      <c r="AF210" s="21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1463</v>
      </c>
      <c r="AM210" t="s">
        <v>1131</v>
      </c>
      <c r="AN210" t="s">
        <v>27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1523</v>
      </c>
    </row>
    <row r="211" spans="1:56" x14ac:dyDescent="0.25">
      <c r="A211" s="25" t="s">
        <v>803</v>
      </c>
      <c r="B211" s="25" t="str">
        <f t="shared" si="64"/>
        <v>F04</v>
      </c>
      <c r="C211" s="25" t="str">
        <f t="shared" si="65"/>
        <v>LT</v>
      </c>
      <c r="D211" s="25" t="str">
        <f t="shared" si="66"/>
        <v>01</v>
      </c>
      <c r="E211" s="25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878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39">
        <f t="shared" si="70"/>
        <v>30</v>
      </c>
      <c r="N211" s="39" t="str">
        <f t="shared" si="71"/>
        <v>IA</v>
      </c>
      <c r="O211" s="39">
        <f t="shared" si="72"/>
        <v>5</v>
      </c>
      <c r="P211" s="39" t="s">
        <v>923</v>
      </c>
      <c r="Q211" s="39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27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1">
        <f t="shared" si="63"/>
        <v>25</v>
      </c>
      <c r="AE211" s="21">
        <f t="shared" si="77"/>
        <v>0</v>
      </c>
      <c r="AF211" s="21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1464</v>
      </c>
      <c r="AM211" t="s">
        <v>1132</v>
      </c>
      <c r="AN211" t="s">
        <v>27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1523</v>
      </c>
    </row>
    <row r="212" spans="1:56" x14ac:dyDescent="0.25">
      <c r="A212" s="25" t="s">
        <v>804</v>
      </c>
      <c r="B212" s="25" t="str">
        <f t="shared" si="64"/>
        <v>F04</v>
      </c>
      <c r="C212" s="25" t="str">
        <f t="shared" si="65"/>
        <v>T0</v>
      </c>
      <c r="D212" s="25" t="str">
        <f t="shared" si="66"/>
        <v>02</v>
      </c>
      <c r="E212" s="25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878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39">
        <f t="shared" si="70"/>
        <v>10</v>
      </c>
      <c r="N212" s="39" t="str">
        <f t="shared" si="71"/>
        <v>IA</v>
      </c>
      <c r="O212" s="39">
        <f t="shared" si="72"/>
        <v>5</v>
      </c>
      <c r="P212" s="39" t="s">
        <v>923</v>
      </c>
      <c r="Q212" s="39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27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1">
        <f t="shared" si="63"/>
        <v>0</v>
      </c>
      <c r="AE212" s="21">
        <f t="shared" si="77"/>
        <v>10</v>
      </c>
      <c r="AF212" s="21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1465</v>
      </c>
      <c r="AM212" t="s">
        <v>1133</v>
      </c>
      <c r="AN212" t="s">
        <v>27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1525</v>
      </c>
    </row>
    <row r="213" spans="1:56" x14ac:dyDescent="0.25">
      <c r="A213" s="25" t="s">
        <v>805</v>
      </c>
      <c r="B213" s="25" t="str">
        <f t="shared" si="64"/>
        <v>F04</v>
      </c>
      <c r="C213" s="25" t="str">
        <f t="shared" si="65"/>
        <v>T0</v>
      </c>
      <c r="D213" s="25" t="str">
        <f t="shared" si="66"/>
        <v>02</v>
      </c>
      <c r="E213" s="25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878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39">
        <f t="shared" si="70"/>
        <v>15</v>
      </c>
      <c r="N213" s="39" t="str">
        <f t="shared" si="71"/>
        <v>IA</v>
      </c>
      <c r="O213" s="39">
        <f t="shared" si="72"/>
        <v>5</v>
      </c>
      <c r="P213" s="39" t="s">
        <v>923</v>
      </c>
      <c r="Q213" s="39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27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1">
        <f t="shared" si="63"/>
        <v>0</v>
      </c>
      <c r="AE213" s="21">
        <f t="shared" si="77"/>
        <v>15</v>
      </c>
      <c r="AF213" s="21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1466</v>
      </c>
      <c r="AM213" t="s">
        <v>1134</v>
      </c>
      <c r="AN213" t="s">
        <v>27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1525</v>
      </c>
    </row>
    <row r="214" spans="1:56" x14ac:dyDescent="0.25">
      <c r="A214" s="25" t="s">
        <v>806</v>
      </c>
      <c r="B214" s="25" t="str">
        <f t="shared" si="64"/>
        <v>F04</v>
      </c>
      <c r="C214" s="25" t="str">
        <f t="shared" si="65"/>
        <v>T0</v>
      </c>
      <c r="D214" s="25" t="str">
        <f t="shared" si="66"/>
        <v>02</v>
      </c>
      <c r="E214" s="25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878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39">
        <f t="shared" si="70"/>
        <v>17</v>
      </c>
      <c r="N214" s="39" t="str">
        <f t="shared" si="71"/>
        <v>IA</v>
      </c>
      <c r="O214" s="39">
        <f t="shared" si="72"/>
        <v>5</v>
      </c>
      <c r="P214" s="39" t="s">
        <v>923</v>
      </c>
      <c r="Q214" s="39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27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1">
        <f t="shared" si="63"/>
        <v>0</v>
      </c>
      <c r="AE214" s="21">
        <f t="shared" si="77"/>
        <v>17</v>
      </c>
      <c r="AF214" s="21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1467</v>
      </c>
      <c r="AM214" t="s">
        <v>1135</v>
      </c>
      <c r="AN214" t="s">
        <v>27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1525</v>
      </c>
    </row>
    <row r="215" spans="1:56" x14ac:dyDescent="0.25">
      <c r="A215" s="25" t="s">
        <v>807</v>
      </c>
      <c r="B215" s="25" t="str">
        <f t="shared" si="64"/>
        <v>F04</v>
      </c>
      <c r="C215" s="25" t="str">
        <f t="shared" si="65"/>
        <v>T0</v>
      </c>
      <c r="D215" s="25" t="str">
        <f t="shared" si="66"/>
        <v>02</v>
      </c>
      <c r="E215" s="25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878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39">
        <f t="shared" si="70"/>
        <v>20</v>
      </c>
      <c r="N215" s="39" t="str">
        <f t="shared" si="71"/>
        <v>IA</v>
      </c>
      <c r="O215" s="39">
        <f t="shared" si="72"/>
        <v>5</v>
      </c>
      <c r="P215" s="39" t="s">
        <v>923</v>
      </c>
      <c r="Q215" s="39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27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1">
        <f t="shared" si="63"/>
        <v>0</v>
      </c>
      <c r="AE215" s="21">
        <f t="shared" si="77"/>
        <v>20</v>
      </c>
      <c r="AF215" s="21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1468</v>
      </c>
      <c r="AM215" t="s">
        <v>1136</v>
      </c>
      <c r="AN215" t="s">
        <v>27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1525</v>
      </c>
    </row>
    <row r="216" spans="1:56" x14ac:dyDescent="0.25">
      <c r="A216" s="25" t="s">
        <v>808</v>
      </c>
      <c r="B216" s="25" t="str">
        <f t="shared" si="64"/>
        <v>F04</v>
      </c>
      <c r="C216" s="25" t="str">
        <f t="shared" si="65"/>
        <v>T0</v>
      </c>
      <c r="D216" s="25" t="str">
        <f t="shared" si="66"/>
        <v>02</v>
      </c>
      <c r="E216" s="25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878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39">
        <f t="shared" si="70"/>
        <v>25</v>
      </c>
      <c r="N216" s="39" t="str">
        <f t="shared" si="71"/>
        <v>IA</v>
      </c>
      <c r="O216" s="39">
        <f t="shared" si="72"/>
        <v>5</v>
      </c>
      <c r="P216" s="39" t="s">
        <v>923</v>
      </c>
      <c r="Q216" s="39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27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1">
        <f t="shared" si="63"/>
        <v>0</v>
      </c>
      <c r="AE216" s="21">
        <f t="shared" si="77"/>
        <v>25</v>
      </c>
      <c r="AF216" s="21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1469</v>
      </c>
      <c r="AM216" t="s">
        <v>1137</v>
      </c>
      <c r="AN216" t="s">
        <v>27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1525</v>
      </c>
    </row>
    <row r="217" spans="1:56" x14ac:dyDescent="0.25">
      <c r="A217" s="25" t="s">
        <v>809</v>
      </c>
      <c r="B217" s="25" t="str">
        <f t="shared" si="64"/>
        <v>F04</v>
      </c>
      <c r="C217" s="25" t="str">
        <f t="shared" si="65"/>
        <v>T0</v>
      </c>
      <c r="D217" s="25" t="str">
        <f t="shared" si="66"/>
        <v>02</v>
      </c>
      <c r="E217" s="25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878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39">
        <f t="shared" si="70"/>
        <v>40</v>
      </c>
      <c r="N217" s="39" t="str">
        <f t="shared" si="71"/>
        <v>IA</v>
      </c>
      <c r="O217" s="39">
        <f t="shared" si="72"/>
        <v>5</v>
      </c>
      <c r="P217" s="39" t="s">
        <v>923</v>
      </c>
      <c r="Q217" s="39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27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1">
        <f t="shared" ref="AD217:AD264" si="90">U217/1000000*IF(G217="IA",IF(N217="IA",MAX(M217-O217,0),M217),0)</f>
        <v>0</v>
      </c>
      <c r="AE217" s="21">
        <f t="shared" si="77"/>
        <v>40</v>
      </c>
      <c r="AF217" s="21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1470</v>
      </c>
      <c r="AM217" t="s">
        <v>1138</v>
      </c>
      <c r="AN217" t="s">
        <v>27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1525</v>
      </c>
    </row>
    <row r="218" spans="1:56" x14ac:dyDescent="0.25">
      <c r="A218" s="25" t="s">
        <v>810</v>
      </c>
      <c r="B218" s="25" t="str">
        <f t="shared" ref="B218:B242" si="91">RIGHT(LEFT(A218,3),3)</f>
        <v>F04</v>
      </c>
      <c r="C218" s="25" t="str">
        <f t="shared" ref="C218:C242" si="92">RIGHT(LEFT(A218,5),2)</f>
        <v>T0</v>
      </c>
      <c r="D218" s="25" t="str">
        <f t="shared" ref="D218:D242" si="93">RIGHT(LEFT(A218,7),2)</f>
        <v>02</v>
      </c>
      <c r="E218" s="25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878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39">
        <f t="shared" ref="M218:M264" si="97">_xlfn.NUMBERVALUE(K218&amp;"."&amp;L218,".")</f>
        <v>50</v>
      </c>
      <c r="N218" s="39" t="str">
        <f t="shared" ref="N218:N264" si="98">VLOOKUP(F218,$C$2:$E$11,2,FALSE)</f>
        <v>IA</v>
      </c>
      <c r="O218" s="39">
        <f t="shared" ref="O218:O264" si="99">VLOOKUP(F218,$C$2:$E$11,3,FALSE)</f>
        <v>5</v>
      </c>
      <c r="P218" s="39" t="s">
        <v>923</v>
      </c>
      <c r="Q218" s="39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27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1">
        <f t="shared" si="90"/>
        <v>0</v>
      </c>
      <c r="AE218" s="21">
        <f t="shared" ref="AE218:AE264" si="104">U218/1000000*IF(G218="MEHQ",IF(N218="MEHQ",MAX(M218-O218,0),M218),0)</f>
        <v>50</v>
      </c>
      <c r="AF218" s="21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1471</v>
      </c>
      <c r="AM218" t="s">
        <v>1139</v>
      </c>
      <c r="AN218" t="s">
        <v>27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1525</v>
      </c>
    </row>
    <row r="219" spans="1:56" x14ac:dyDescent="0.25">
      <c r="A219" s="25" t="s">
        <v>811</v>
      </c>
      <c r="B219" s="25" t="str">
        <f t="shared" si="91"/>
        <v>F04</v>
      </c>
      <c r="C219" s="25" t="str">
        <f t="shared" si="92"/>
        <v>T0</v>
      </c>
      <c r="D219" s="25" t="str">
        <f t="shared" si="93"/>
        <v>02</v>
      </c>
      <c r="E219" s="25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878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39">
        <f t="shared" si="97"/>
        <v>100</v>
      </c>
      <c r="N219" s="39" t="str">
        <f t="shared" si="98"/>
        <v>IA</v>
      </c>
      <c r="O219" s="39">
        <f t="shared" si="99"/>
        <v>5</v>
      </c>
      <c r="P219" s="39" t="s">
        <v>923</v>
      </c>
      <c r="Q219" s="39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27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1">
        <f t="shared" si="90"/>
        <v>0</v>
      </c>
      <c r="AE219" s="21">
        <f t="shared" si="104"/>
        <v>100</v>
      </c>
      <c r="AF219" s="21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1472</v>
      </c>
      <c r="AM219" t="s">
        <v>1140</v>
      </c>
      <c r="AN219" t="s">
        <v>27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1525</v>
      </c>
    </row>
    <row r="220" spans="1:56" x14ac:dyDescent="0.25">
      <c r="A220" s="25" t="s">
        <v>812</v>
      </c>
      <c r="B220" s="25" t="str">
        <f t="shared" si="91"/>
        <v>F04</v>
      </c>
      <c r="C220" s="25" t="str">
        <f t="shared" si="92"/>
        <v>T0</v>
      </c>
      <c r="D220" s="25" t="str">
        <f t="shared" si="93"/>
        <v>01</v>
      </c>
      <c r="E220" s="25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878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39">
        <f t="shared" si="97"/>
        <v>5</v>
      </c>
      <c r="N220" s="39" t="str">
        <f t="shared" si="98"/>
        <v>IA</v>
      </c>
      <c r="O220" s="39">
        <f t="shared" si="99"/>
        <v>5</v>
      </c>
      <c r="P220" s="39" t="s">
        <v>923</v>
      </c>
      <c r="Q220" s="39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27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1">
        <f t="shared" si="90"/>
        <v>0</v>
      </c>
      <c r="AE220" s="21">
        <f t="shared" si="104"/>
        <v>0</v>
      </c>
      <c r="AF220" s="21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1473</v>
      </c>
      <c r="AM220" t="s">
        <v>1141</v>
      </c>
      <c r="AN220" t="s">
        <v>27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1525</v>
      </c>
    </row>
    <row r="221" spans="1:56" x14ac:dyDescent="0.25">
      <c r="A221" s="25" t="s">
        <v>813</v>
      </c>
      <c r="B221" s="25" t="str">
        <f t="shared" si="91"/>
        <v>F06</v>
      </c>
      <c r="C221" s="25" t="str">
        <f t="shared" si="92"/>
        <v>DP</v>
      </c>
      <c r="D221" s="25" t="str">
        <f t="shared" si="93"/>
        <v>02</v>
      </c>
      <c r="E221" s="25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878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39">
        <f t="shared" si="97"/>
        <v>200</v>
      </c>
      <c r="N221" s="39" t="str">
        <f t="shared" si="98"/>
        <v>MEHQ</v>
      </c>
      <c r="O221" s="39">
        <f t="shared" si="99"/>
        <v>50</v>
      </c>
      <c r="P221" s="39" t="s">
        <v>603</v>
      </c>
      <c r="Q221" s="39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27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1">
        <f t="shared" si="90"/>
        <v>0</v>
      </c>
      <c r="AE221" s="21">
        <f t="shared" si="104"/>
        <v>150</v>
      </c>
      <c r="AF221" s="21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1474</v>
      </c>
      <c r="AM221" t="s">
        <v>1142</v>
      </c>
      <c r="AN221" t="s">
        <v>27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1521</v>
      </c>
    </row>
    <row r="222" spans="1:56" x14ac:dyDescent="0.25">
      <c r="A222" s="25" t="s">
        <v>814</v>
      </c>
      <c r="B222" s="25" t="str">
        <f t="shared" si="91"/>
        <v>F06</v>
      </c>
      <c r="C222" s="25" t="str">
        <f t="shared" si="92"/>
        <v>DP</v>
      </c>
      <c r="D222" s="25" t="str">
        <f t="shared" si="93"/>
        <v>02</v>
      </c>
      <c r="E222" s="25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878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39">
        <f t="shared" si="97"/>
        <v>250</v>
      </c>
      <c r="N222" s="39" t="str">
        <f t="shared" si="98"/>
        <v>MEHQ</v>
      </c>
      <c r="O222" s="39">
        <f t="shared" si="99"/>
        <v>50</v>
      </c>
      <c r="P222" s="39" t="s">
        <v>603</v>
      </c>
      <c r="Q222" s="39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27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1">
        <f t="shared" si="90"/>
        <v>0</v>
      </c>
      <c r="AE222" s="21">
        <f t="shared" si="104"/>
        <v>200</v>
      </c>
      <c r="AF222" s="21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1475</v>
      </c>
      <c r="AM222" t="s">
        <v>1143</v>
      </c>
      <c r="AN222" t="s">
        <v>27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1521</v>
      </c>
    </row>
    <row r="223" spans="1:56" x14ac:dyDescent="0.25">
      <c r="A223" s="25" t="s">
        <v>815</v>
      </c>
      <c r="B223" s="25" t="str">
        <f t="shared" si="91"/>
        <v>F06</v>
      </c>
      <c r="C223" s="25" t="str">
        <f t="shared" si="92"/>
        <v>LT</v>
      </c>
      <c r="D223" s="25" t="str">
        <f t="shared" si="93"/>
        <v>02</v>
      </c>
      <c r="E223" s="25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878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39">
        <f t="shared" si="97"/>
        <v>250</v>
      </c>
      <c r="N223" s="39" t="str">
        <f t="shared" si="98"/>
        <v>MEHQ</v>
      </c>
      <c r="O223" s="39">
        <f t="shared" si="99"/>
        <v>50</v>
      </c>
      <c r="P223" s="39" t="s">
        <v>603</v>
      </c>
      <c r="Q223" s="39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27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1">
        <f t="shared" si="90"/>
        <v>0</v>
      </c>
      <c r="AE223" s="21">
        <f t="shared" si="104"/>
        <v>200</v>
      </c>
      <c r="AF223" s="21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1476</v>
      </c>
      <c r="AM223" t="s">
        <v>1144</v>
      </c>
      <c r="AN223" t="s">
        <v>27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1523</v>
      </c>
    </row>
    <row r="224" spans="1:56" x14ac:dyDescent="0.25">
      <c r="A224" s="25" t="s">
        <v>816</v>
      </c>
      <c r="B224" s="25" t="str">
        <f t="shared" si="91"/>
        <v>F06</v>
      </c>
      <c r="C224" s="25" t="str">
        <f t="shared" si="92"/>
        <v>T0</v>
      </c>
      <c r="D224" s="25" t="str">
        <f t="shared" si="93"/>
        <v>02</v>
      </c>
      <c r="E224" s="25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878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39">
        <f t="shared" si="97"/>
        <v>50</v>
      </c>
      <c r="N224" s="39" t="str">
        <f t="shared" si="98"/>
        <v>MEHQ</v>
      </c>
      <c r="O224" s="39">
        <f t="shared" si="99"/>
        <v>50</v>
      </c>
      <c r="P224" s="39" t="s">
        <v>603</v>
      </c>
      <c r="Q224" s="39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27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1">
        <f t="shared" si="90"/>
        <v>0</v>
      </c>
      <c r="AE224" s="21">
        <f t="shared" si="104"/>
        <v>0</v>
      </c>
      <c r="AF224" s="21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1477</v>
      </c>
      <c r="AM224" t="s">
        <v>1145</v>
      </c>
      <c r="AN224" t="s">
        <v>27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1525</v>
      </c>
    </row>
    <row r="225" spans="1:56" x14ac:dyDescent="0.25">
      <c r="A225" s="25" t="s">
        <v>817</v>
      </c>
      <c r="B225" s="25" t="str">
        <f t="shared" si="91"/>
        <v>F06</v>
      </c>
      <c r="C225" s="25" t="str">
        <f t="shared" si="92"/>
        <v>T0</v>
      </c>
      <c r="D225" s="25" t="str">
        <f t="shared" si="93"/>
        <v>02</v>
      </c>
      <c r="E225" s="25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878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39">
        <f t="shared" si="97"/>
        <v>250</v>
      </c>
      <c r="N225" s="39" t="str">
        <f t="shared" si="98"/>
        <v>MEHQ</v>
      </c>
      <c r="O225" s="39">
        <f t="shared" si="99"/>
        <v>50</v>
      </c>
      <c r="P225" s="39" t="s">
        <v>603</v>
      </c>
      <c r="Q225" s="39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27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1">
        <f t="shared" si="90"/>
        <v>0</v>
      </c>
      <c r="AE225" s="21">
        <f t="shared" si="104"/>
        <v>200</v>
      </c>
      <c r="AF225" s="21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1478</v>
      </c>
      <c r="AM225" t="s">
        <v>1146</v>
      </c>
      <c r="AN225" t="s">
        <v>27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1525</v>
      </c>
    </row>
    <row r="226" spans="1:56" x14ac:dyDescent="0.25">
      <c r="A226" s="25" t="s">
        <v>818</v>
      </c>
      <c r="B226" s="25" t="str">
        <f t="shared" si="91"/>
        <v>F07</v>
      </c>
      <c r="C226" s="25" t="str">
        <f t="shared" si="92"/>
        <v>DP</v>
      </c>
      <c r="D226" s="25" t="str">
        <f t="shared" si="93"/>
        <v>02</v>
      </c>
      <c r="E226" s="25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878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39">
        <f t="shared" si="97"/>
        <v>200</v>
      </c>
      <c r="N226" s="39" t="str">
        <f t="shared" si="98"/>
        <v>MEHQ</v>
      </c>
      <c r="O226" s="39">
        <f t="shared" si="99"/>
        <v>50</v>
      </c>
      <c r="P226" s="39" t="s">
        <v>603</v>
      </c>
      <c r="Q226" s="39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27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1">
        <f t="shared" si="90"/>
        <v>0</v>
      </c>
      <c r="AE226" s="21">
        <f t="shared" si="104"/>
        <v>150</v>
      </c>
      <c r="AF226" s="21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1479</v>
      </c>
      <c r="AM226" t="s">
        <v>1147</v>
      </c>
      <c r="AN226" t="s">
        <v>27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1521</v>
      </c>
    </row>
    <row r="227" spans="1:56" x14ac:dyDescent="0.25">
      <c r="A227" s="25" t="s">
        <v>819</v>
      </c>
      <c r="B227" s="25" t="str">
        <f t="shared" si="91"/>
        <v>F07</v>
      </c>
      <c r="C227" s="25" t="str">
        <f t="shared" si="92"/>
        <v>DP</v>
      </c>
      <c r="D227" s="25" t="str">
        <f t="shared" si="93"/>
        <v>02</v>
      </c>
      <c r="E227" s="25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878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39">
        <f t="shared" si="97"/>
        <v>250</v>
      </c>
      <c r="N227" s="39" t="str">
        <f t="shared" si="98"/>
        <v>MEHQ</v>
      </c>
      <c r="O227" s="39">
        <f t="shared" si="99"/>
        <v>50</v>
      </c>
      <c r="P227" s="39" t="s">
        <v>603</v>
      </c>
      <c r="Q227" s="39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27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1">
        <f t="shared" si="90"/>
        <v>0</v>
      </c>
      <c r="AE227" s="21">
        <f t="shared" si="104"/>
        <v>200</v>
      </c>
      <c r="AF227" s="21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1480</v>
      </c>
      <c r="AM227" t="s">
        <v>1148</v>
      </c>
      <c r="AN227" t="s">
        <v>27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1521</v>
      </c>
    </row>
    <row r="228" spans="1:56" x14ac:dyDescent="0.25">
      <c r="A228" s="25" t="s">
        <v>820</v>
      </c>
      <c r="B228" s="25" t="str">
        <f t="shared" si="91"/>
        <v>F07</v>
      </c>
      <c r="C228" s="25" t="str">
        <f t="shared" si="92"/>
        <v>LT</v>
      </c>
      <c r="D228" s="25" t="str">
        <f t="shared" si="93"/>
        <v>02</v>
      </c>
      <c r="E228" s="25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878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39">
        <f t="shared" si="97"/>
        <v>250</v>
      </c>
      <c r="N228" s="39" t="str">
        <f t="shared" si="98"/>
        <v>MEHQ</v>
      </c>
      <c r="O228" s="39">
        <f t="shared" si="99"/>
        <v>50</v>
      </c>
      <c r="P228" s="39" t="s">
        <v>603</v>
      </c>
      <c r="Q228" s="39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27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1">
        <f t="shared" si="90"/>
        <v>0</v>
      </c>
      <c r="AE228" s="21">
        <f t="shared" si="104"/>
        <v>200</v>
      </c>
      <c r="AF228" s="21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1481</v>
      </c>
      <c r="AM228" t="s">
        <v>1149</v>
      </c>
      <c r="AN228" t="s">
        <v>27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1523</v>
      </c>
    </row>
    <row r="229" spans="1:56" x14ac:dyDescent="0.25">
      <c r="A229" s="25" t="s">
        <v>821</v>
      </c>
      <c r="B229" s="25" t="str">
        <f t="shared" si="91"/>
        <v>F07</v>
      </c>
      <c r="C229" s="25" t="str">
        <f t="shared" si="92"/>
        <v>T0</v>
      </c>
      <c r="D229" s="25" t="str">
        <f t="shared" si="93"/>
        <v>02</v>
      </c>
      <c r="E229" s="25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878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39">
        <f t="shared" si="97"/>
        <v>50</v>
      </c>
      <c r="N229" s="39" t="str">
        <f t="shared" si="98"/>
        <v>MEHQ</v>
      </c>
      <c r="O229" s="39">
        <f t="shared" si="99"/>
        <v>50</v>
      </c>
      <c r="P229" s="39" t="s">
        <v>603</v>
      </c>
      <c r="Q229" s="39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27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1">
        <f t="shared" si="90"/>
        <v>0</v>
      </c>
      <c r="AE229" s="21">
        <f t="shared" si="104"/>
        <v>0</v>
      </c>
      <c r="AF229" s="21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1482</v>
      </c>
      <c r="AM229" t="s">
        <v>1150</v>
      </c>
      <c r="AN229" t="s">
        <v>27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1525</v>
      </c>
    </row>
    <row r="230" spans="1:56" x14ac:dyDescent="0.25">
      <c r="A230" s="25" t="s">
        <v>822</v>
      </c>
      <c r="B230" s="25" t="str">
        <f t="shared" si="91"/>
        <v>F07</v>
      </c>
      <c r="C230" s="25" t="str">
        <f t="shared" si="92"/>
        <v>T0</v>
      </c>
      <c r="D230" s="25" t="str">
        <f t="shared" si="93"/>
        <v>02</v>
      </c>
      <c r="E230" s="25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878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39">
        <f t="shared" si="97"/>
        <v>250</v>
      </c>
      <c r="N230" s="39" t="str">
        <f t="shared" si="98"/>
        <v>MEHQ</v>
      </c>
      <c r="O230" s="39">
        <f t="shared" si="99"/>
        <v>50</v>
      </c>
      <c r="P230" s="39" t="s">
        <v>603</v>
      </c>
      <c r="Q230" s="39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27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1">
        <f t="shared" si="90"/>
        <v>0</v>
      </c>
      <c r="AE230" s="21">
        <f t="shared" si="104"/>
        <v>200</v>
      </c>
      <c r="AF230" s="21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1483</v>
      </c>
      <c r="AM230" t="s">
        <v>1151</v>
      </c>
      <c r="AN230" t="s">
        <v>27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1525</v>
      </c>
    </row>
    <row r="231" spans="1:56" x14ac:dyDescent="0.25">
      <c r="A231" s="25" t="s">
        <v>823</v>
      </c>
      <c r="B231" s="25" t="str">
        <f t="shared" si="91"/>
        <v>F08</v>
      </c>
      <c r="C231" s="25" t="str">
        <f t="shared" si="92"/>
        <v>DN</v>
      </c>
      <c r="D231" s="25" t="str">
        <f t="shared" si="93"/>
        <v>02</v>
      </c>
      <c r="E231" s="25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878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39">
        <f t="shared" si="97"/>
        <v>10</v>
      </c>
      <c r="N231" s="39" t="str">
        <f t="shared" si="98"/>
        <v>IA</v>
      </c>
      <c r="O231" s="39">
        <f t="shared" si="99"/>
        <v>5</v>
      </c>
      <c r="P231" s="39" t="s">
        <v>923</v>
      </c>
      <c r="Q231" s="39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27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1">
        <f t="shared" si="90"/>
        <v>0</v>
      </c>
      <c r="AE231" s="21">
        <f t="shared" si="104"/>
        <v>9</v>
      </c>
      <c r="AF231" s="21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1484</v>
      </c>
      <c r="AM231" t="s">
        <v>1152</v>
      </c>
      <c r="AN231" t="s">
        <v>27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1521</v>
      </c>
    </row>
    <row r="232" spans="1:56" x14ac:dyDescent="0.25">
      <c r="A232" s="25" t="s">
        <v>824</v>
      </c>
      <c r="B232" s="25" t="str">
        <f t="shared" si="91"/>
        <v>F08</v>
      </c>
      <c r="C232" s="25" t="str">
        <f t="shared" si="92"/>
        <v>DN</v>
      </c>
      <c r="D232" s="25" t="str">
        <f t="shared" si="93"/>
        <v>02</v>
      </c>
      <c r="E232" s="25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878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39">
        <f t="shared" si="97"/>
        <v>25</v>
      </c>
      <c r="N232" s="39" t="str">
        <f t="shared" si="98"/>
        <v>IA</v>
      </c>
      <c r="O232" s="39">
        <f t="shared" si="99"/>
        <v>5</v>
      </c>
      <c r="P232" s="39" t="s">
        <v>923</v>
      </c>
      <c r="Q232" s="39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27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1">
        <f t="shared" si="90"/>
        <v>0</v>
      </c>
      <c r="AE232" s="21">
        <f t="shared" si="104"/>
        <v>22.5</v>
      </c>
      <c r="AF232" s="21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1485</v>
      </c>
      <c r="AM232" t="s">
        <v>1153</v>
      </c>
      <c r="AN232" t="s">
        <v>27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1521</v>
      </c>
    </row>
    <row r="233" spans="1:56" x14ac:dyDescent="0.25">
      <c r="A233" s="25" t="s">
        <v>825</v>
      </c>
      <c r="B233" s="25" t="str">
        <f t="shared" si="91"/>
        <v>F08</v>
      </c>
      <c r="C233" s="25" t="str">
        <f t="shared" si="92"/>
        <v>DN</v>
      </c>
      <c r="D233" s="25" t="str">
        <f t="shared" si="93"/>
        <v>02</v>
      </c>
      <c r="E233" s="25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878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39">
        <f t="shared" si="97"/>
        <v>50</v>
      </c>
      <c r="N233" s="39" t="str">
        <f t="shared" si="98"/>
        <v>IA</v>
      </c>
      <c r="O233" s="39">
        <f t="shared" si="99"/>
        <v>5</v>
      </c>
      <c r="P233" s="39" t="s">
        <v>923</v>
      </c>
      <c r="Q233" s="39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27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1">
        <f t="shared" si="90"/>
        <v>0</v>
      </c>
      <c r="AE233" s="21">
        <f t="shared" si="104"/>
        <v>45</v>
      </c>
      <c r="AF233" s="21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1486</v>
      </c>
      <c r="AM233" t="s">
        <v>1154</v>
      </c>
      <c r="AN233" t="s">
        <v>27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1521</v>
      </c>
    </row>
    <row r="234" spans="1:56" x14ac:dyDescent="0.25">
      <c r="A234" s="25" t="s">
        <v>826</v>
      </c>
      <c r="B234" s="25" t="str">
        <f t="shared" si="91"/>
        <v>F08</v>
      </c>
      <c r="C234" s="25" t="str">
        <f t="shared" si="92"/>
        <v>DN</v>
      </c>
      <c r="D234" s="25" t="str">
        <f t="shared" si="93"/>
        <v>02</v>
      </c>
      <c r="E234" s="25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878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39">
        <f t="shared" si="97"/>
        <v>100</v>
      </c>
      <c r="N234" s="39" t="str">
        <f t="shared" si="98"/>
        <v>IA</v>
      </c>
      <c r="O234" s="39">
        <f t="shared" si="99"/>
        <v>5</v>
      </c>
      <c r="P234" s="39" t="s">
        <v>923</v>
      </c>
      <c r="Q234" s="39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27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1">
        <f t="shared" si="90"/>
        <v>0</v>
      </c>
      <c r="AE234" s="21">
        <f t="shared" si="104"/>
        <v>90</v>
      </c>
      <c r="AF234" s="21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1487</v>
      </c>
      <c r="AM234" t="s">
        <v>1155</v>
      </c>
      <c r="AN234" t="s">
        <v>27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1521</v>
      </c>
    </row>
    <row r="235" spans="1:56" x14ac:dyDescent="0.25">
      <c r="A235" s="25" t="s">
        <v>827</v>
      </c>
      <c r="B235" s="25" t="str">
        <f t="shared" si="91"/>
        <v>F08</v>
      </c>
      <c r="C235" s="25" t="str">
        <f t="shared" si="92"/>
        <v>I0</v>
      </c>
      <c r="D235" s="25" t="str">
        <f t="shared" si="93"/>
        <v>02</v>
      </c>
      <c r="E235" s="25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878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39">
        <f t="shared" si="97"/>
        <v>100</v>
      </c>
      <c r="N235" s="39" t="str">
        <f t="shared" si="98"/>
        <v>IA</v>
      </c>
      <c r="O235" s="39">
        <f t="shared" si="99"/>
        <v>5</v>
      </c>
      <c r="P235" s="39" t="s">
        <v>923</v>
      </c>
      <c r="Q235" s="39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27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1">
        <f t="shared" si="90"/>
        <v>0</v>
      </c>
      <c r="AE235" s="21">
        <f t="shared" si="104"/>
        <v>100</v>
      </c>
      <c r="AF235" s="21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1488</v>
      </c>
      <c r="AM235" t="s">
        <v>1156</v>
      </c>
      <c r="AN235" t="s">
        <v>27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1522</v>
      </c>
    </row>
    <row r="236" spans="1:56" x14ac:dyDescent="0.25">
      <c r="A236" s="25" t="s">
        <v>828</v>
      </c>
      <c r="B236" s="25" t="str">
        <f t="shared" si="91"/>
        <v>F08</v>
      </c>
      <c r="C236" s="25" t="str">
        <f t="shared" si="92"/>
        <v>LT</v>
      </c>
      <c r="D236" s="25" t="str">
        <f t="shared" si="93"/>
        <v>02</v>
      </c>
      <c r="E236" s="25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878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39">
        <f t="shared" si="97"/>
        <v>25</v>
      </c>
      <c r="N236" s="39" t="str">
        <f t="shared" si="98"/>
        <v>IA</v>
      </c>
      <c r="O236" s="39">
        <f t="shared" si="99"/>
        <v>5</v>
      </c>
      <c r="P236" s="39" t="s">
        <v>923</v>
      </c>
      <c r="Q236" s="39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27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1">
        <f t="shared" si="90"/>
        <v>0</v>
      </c>
      <c r="AE236" s="21">
        <f t="shared" si="104"/>
        <v>25</v>
      </c>
      <c r="AF236" s="21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1489</v>
      </c>
      <c r="AM236" t="s">
        <v>1157</v>
      </c>
      <c r="AN236" t="s">
        <v>27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1523</v>
      </c>
    </row>
    <row r="237" spans="1:56" x14ac:dyDescent="0.25">
      <c r="A237" s="25" t="s">
        <v>829</v>
      </c>
      <c r="B237" s="25" t="str">
        <f t="shared" si="91"/>
        <v>F08</v>
      </c>
      <c r="C237" s="25" t="str">
        <f t="shared" si="92"/>
        <v>LT</v>
      </c>
      <c r="D237" s="25" t="str">
        <f t="shared" si="93"/>
        <v>02</v>
      </c>
      <c r="E237" s="25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878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39">
        <f t="shared" si="97"/>
        <v>100</v>
      </c>
      <c r="N237" s="39" t="str">
        <f t="shared" si="98"/>
        <v>IA</v>
      </c>
      <c r="O237" s="39">
        <f t="shared" si="99"/>
        <v>5</v>
      </c>
      <c r="P237" s="39" t="s">
        <v>923</v>
      </c>
      <c r="Q237" s="39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27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1">
        <f t="shared" si="90"/>
        <v>0</v>
      </c>
      <c r="AE237" s="21">
        <f t="shared" si="104"/>
        <v>100</v>
      </c>
      <c r="AF237" s="21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1490</v>
      </c>
      <c r="AM237" t="s">
        <v>1158</v>
      </c>
      <c r="AN237" t="s">
        <v>27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1523</v>
      </c>
    </row>
    <row r="238" spans="1:56" x14ac:dyDescent="0.25">
      <c r="A238" s="25" t="s">
        <v>830</v>
      </c>
      <c r="B238" s="25" t="str">
        <f t="shared" si="91"/>
        <v>F08</v>
      </c>
      <c r="C238" s="25" t="str">
        <f t="shared" si="92"/>
        <v>T0</v>
      </c>
      <c r="D238" s="25" t="str">
        <f t="shared" si="93"/>
        <v>02</v>
      </c>
      <c r="E238" s="25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878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39">
        <f t="shared" si="97"/>
        <v>10</v>
      </c>
      <c r="N238" s="39" t="str">
        <f t="shared" si="98"/>
        <v>IA</v>
      </c>
      <c r="O238" s="39">
        <f t="shared" si="99"/>
        <v>5</v>
      </c>
      <c r="P238" s="39" t="s">
        <v>923</v>
      </c>
      <c r="Q238" s="39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27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1">
        <f t="shared" si="90"/>
        <v>0</v>
      </c>
      <c r="AE238" s="21">
        <f t="shared" si="104"/>
        <v>10</v>
      </c>
      <c r="AF238" s="21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1491</v>
      </c>
      <c r="AM238" t="s">
        <v>1159</v>
      </c>
      <c r="AN238" t="s">
        <v>27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1525</v>
      </c>
    </row>
    <row r="239" spans="1:56" x14ac:dyDescent="0.25">
      <c r="A239" s="25" t="s">
        <v>831</v>
      </c>
      <c r="B239" s="25" t="str">
        <f t="shared" si="91"/>
        <v>F08</v>
      </c>
      <c r="C239" s="25" t="str">
        <f t="shared" si="92"/>
        <v>T0</v>
      </c>
      <c r="D239" s="25" t="str">
        <f t="shared" si="93"/>
        <v>02</v>
      </c>
      <c r="E239" s="25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878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39">
        <f t="shared" si="97"/>
        <v>25</v>
      </c>
      <c r="N239" s="39" t="str">
        <f t="shared" si="98"/>
        <v>IA</v>
      </c>
      <c r="O239" s="39">
        <f t="shared" si="99"/>
        <v>5</v>
      </c>
      <c r="P239" s="39" t="s">
        <v>923</v>
      </c>
      <c r="Q239" s="39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27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1">
        <f t="shared" si="90"/>
        <v>0</v>
      </c>
      <c r="AE239" s="21">
        <f t="shared" si="104"/>
        <v>25</v>
      </c>
      <c r="AF239" s="21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1492</v>
      </c>
      <c r="AM239" t="s">
        <v>1160</v>
      </c>
      <c r="AN239" t="s">
        <v>27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1525</v>
      </c>
    </row>
    <row r="240" spans="1:56" x14ac:dyDescent="0.25">
      <c r="A240" s="25" t="s">
        <v>832</v>
      </c>
      <c r="B240" s="25" t="str">
        <f t="shared" si="91"/>
        <v>F08</v>
      </c>
      <c r="C240" s="25" t="str">
        <f t="shared" si="92"/>
        <v>T0</v>
      </c>
      <c r="D240" s="25" t="str">
        <f t="shared" si="93"/>
        <v>02</v>
      </c>
      <c r="E240" s="25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878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39">
        <f t="shared" si="97"/>
        <v>50</v>
      </c>
      <c r="N240" s="39" t="str">
        <f t="shared" si="98"/>
        <v>IA</v>
      </c>
      <c r="O240" s="39">
        <f t="shared" si="99"/>
        <v>5</v>
      </c>
      <c r="P240" s="39" t="s">
        <v>923</v>
      </c>
      <c r="Q240" s="39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27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1">
        <f t="shared" si="90"/>
        <v>0</v>
      </c>
      <c r="AE240" s="21">
        <f t="shared" si="104"/>
        <v>50</v>
      </c>
      <c r="AF240" s="21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1493</v>
      </c>
      <c r="AM240" t="s">
        <v>1161</v>
      </c>
      <c r="AN240" t="s">
        <v>27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1525</v>
      </c>
    </row>
    <row r="241" spans="1:56" x14ac:dyDescent="0.25">
      <c r="A241" s="25" t="s">
        <v>833</v>
      </c>
      <c r="B241" s="25" t="str">
        <f t="shared" si="91"/>
        <v>F08</v>
      </c>
      <c r="C241" s="25" t="str">
        <f t="shared" si="92"/>
        <v>T0</v>
      </c>
      <c r="D241" s="25" t="str">
        <f t="shared" si="93"/>
        <v>02</v>
      </c>
      <c r="E241" s="25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878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39">
        <f t="shared" si="97"/>
        <v>100</v>
      </c>
      <c r="N241" s="39" t="str">
        <f t="shared" si="98"/>
        <v>IA</v>
      </c>
      <c r="O241" s="39">
        <f t="shared" si="99"/>
        <v>5</v>
      </c>
      <c r="P241" s="39" t="s">
        <v>923</v>
      </c>
      <c r="Q241" s="39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27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1">
        <f t="shared" si="90"/>
        <v>0</v>
      </c>
      <c r="AE241" s="21">
        <f t="shared" si="104"/>
        <v>100</v>
      </c>
      <c r="AF241" s="21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1494</v>
      </c>
      <c r="AM241" t="s">
        <v>1162</v>
      </c>
      <c r="AN241" t="s">
        <v>27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1525</v>
      </c>
    </row>
    <row r="242" spans="1:56" x14ac:dyDescent="0.25">
      <c r="A242" s="25" t="s">
        <v>653</v>
      </c>
      <c r="B242" s="31" t="str">
        <f t="shared" si="91"/>
        <v>F01</v>
      </c>
      <c r="C242" s="25" t="str">
        <f t="shared" si="92"/>
        <v>LS</v>
      </c>
      <c r="D242" s="25" t="str">
        <f t="shared" si="93"/>
        <v>01</v>
      </c>
      <c r="E242" s="25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877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39">
        <f t="shared" si="97"/>
        <v>5</v>
      </c>
      <c r="N242" s="39" t="str">
        <f t="shared" si="98"/>
        <v>IA</v>
      </c>
      <c r="O242" s="39">
        <f t="shared" si="99"/>
        <v>5</v>
      </c>
      <c r="P242" s="39" t="s">
        <v>602</v>
      </c>
      <c r="Q242" s="39" t="str">
        <f t="shared" si="100"/>
        <v>LS</v>
      </c>
      <c r="R242" s="54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27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1">
        <f t="shared" si="90"/>
        <v>0</v>
      </c>
      <c r="AE242" s="21">
        <f t="shared" si="104"/>
        <v>0</v>
      </c>
      <c r="AF242" s="21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1495</v>
      </c>
      <c r="AM242" t="s">
        <v>1496</v>
      </c>
      <c r="AN242" t="s">
        <v>27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1523</v>
      </c>
    </row>
    <row r="243" spans="1:56" x14ac:dyDescent="0.25">
      <c r="B243" s="31" t="s">
        <v>838</v>
      </c>
      <c r="C243" t="s">
        <v>875</v>
      </c>
      <c r="F243" t="str">
        <f>VLOOKUP(B243,$B$2:$C$11,2)</f>
        <v>TBA1</v>
      </c>
      <c r="H243" s="24" t="s">
        <v>878</v>
      </c>
      <c r="I243" t="str">
        <f>VLOOKUP(H243,$J$2:$K$4,2)</f>
        <v>Z11F</v>
      </c>
      <c r="J243" t="str">
        <f>VLOOKUP(C243,$L$2:$M$10,2,FALSE)</f>
        <v>Bulk</v>
      </c>
      <c r="M243" s="39"/>
      <c r="N243" s="39"/>
      <c r="O243" s="39">
        <f>VLOOKUP(F243,$C$2:$E$11,3,FALSE)</f>
        <v>0</v>
      </c>
      <c r="P243" s="39" t="s">
        <v>924</v>
      </c>
      <c r="Q243" s="39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27</v>
      </c>
      <c r="AE243" s="21"/>
      <c r="AF243" s="21"/>
      <c r="AJ243" t="str">
        <f t="shared" si="109"/>
        <v>B9600000</v>
      </c>
      <c r="AL243" t="s">
        <v>1497</v>
      </c>
      <c r="AM243" t="s">
        <v>1498</v>
      </c>
      <c r="AN243" t="s">
        <v>27</v>
      </c>
      <c r="BD243" t="s">
        <v>1271</v>
      </c>
    </row>
    <row r="244" spans="1:56" x14ac:dyDescent="0.25">
      <c r="A244" s="34" t="s">
        <v>873</v>
      </c>
      <c r="B244" s="38" t="s">
        <v>845</v>
      </c>
      <c r="C244" s="35" t="s">
        <v>860</v>
      </c>
      <c r="D244" s="35" t="s">
        <v>855</v>
      </c>
      <c r="E244" s="35" t="s">
        <v>861</v>
      </c>
      <c r="F244" s="35" t="str">
        <f t="shared" si="86"/>
        <v>IBMA2</v>
      </c>
      <c r="G244" s="35" t="str">
        <f t="shared" si="87"/>
        <v>MEHQ</v>
      </c>
      <c r="H244" s="36" t="s">
        <v>878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39">
        <f t="shared" si="97"/>
        <v>10</v>
      </c>
      <c r="N244" s="39" t="str">
        <f t="shared" si="98"/>
        <v>IA</v>
      </c>
      <c r="O244" s="39">
        <f t="shared" si="99"/>
        <v>5</v>
      </c>
      <c r="P244" s="39" t="s">
        <v>923</v>
      </c>
      <c r="Q244" s="39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27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1">
        <f t="shared" si="90"/>
        <v>0</v>
      </c>
      <c r="AE244" s="21">
        <f t="shared" si="104"/>
        <v>9</v>
      </c>
      <c r="AF244" s="21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1499</v>
      </c>
      <c r="AM244" t="s">
        <v>1163</v>
      </c>
      <c r="AN244" t="s">
        <v>27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1521</v>
      </c>
    </row>
    <row r="245" spans="1:56" x14ac:dyDescent="0.25">
      <c r="B245" s="31" t="s">
        <v>845</v>
      </c>
      <c r="C245" t="s">
        <v>860</v>
      </c>
      <c r="D245" t="s">
        <v>855</v>
      </c>
      <c r="E245" t="s">
        <v>862</v>
      </c>
      <c r="F245" t="str">
        <f t="shared" si="86"/>
        <v>IBMA2</v>
      </c>
      <c r="G245" t="str">
        <f t="shared" si="87"/>
        <v>MEHQ</v>
      </c>
      <c r="H245" s="12" t="s">
        <v>878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39">
        <f t="shared" si="97"/>
        <v>17</v>
      </c>
      <c r="N245" s="39" t="str">
        <f t="shared" si="98"/>
        <v>IA</v>
      </c>
      <c r="O245" s="39">
        <f t="shared" si="99"/>
        <v>5</v>
      </c>
      <c r="P245" s="39" t="s">
        <v>923</v>
      </c>
      <c r="Q245" s="39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27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1">
        <f t="shared" si="90"/>
        <v>0</v>
      </c>
      <c r="AE245" s="21">
        <f t="shared" si="104"/>
        <v>15.3</v>
      </c>
      <c r="AF245" s="21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1500</v>
      </c>
      <c r="AM245" t="s">
        <v>1164</v>
      </c>
      <c r="AN245" t="s">
        <v>27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1521</v>
      </c>
    </row>
    <row r="246" spans="1:56" x14ac:dyDescent="0.25">
      <c r="B246" s="31" t="s">
        <v>845</v>
      </c>
      <c r="C246" t="s">
        <v>860</v>
      </c>
      <c r="D246" t="s">
        <v>855</v>
      </c>
      <c r="E246" t="s">
        <v>863</v>
      </c>
      <c r="F246" t="str">
        <f t="shared" si="86"/>
        <v>IBMA2</v>
      </c>
      <c r="G246" t="str">
        <f t="shared" si="87"/>
        <v>MEHQ</v>
      </c>
      <c r="H246" s="12" t="s">
        <v>878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39">
        <f t="shared" si="97"/>
        <v>25</v>
      </c>
      <c r="N246" s="39" t="str">
        <f t="shared" si="98"/>
        <v>IA</v>
      </c>
      <c r="O246" s="39">
        <f t="shared" si="99"/>
        <v>5</v>
      </c>
      <c r="P246" s="39" t="s">
        <v>923</v>
      </c>
      <c r="Q246" s="39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27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1">
        <f t="shared" si="90"/>
        <v>0</v>
      </c>
      <c r="AE246" s="21">
        <f t="shared" si="104"/>
        <v>22.5</v>
      </c>
      <c r="AF246" s="21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1501</v>
      </c>
      <c r="AM246" t="s">
        <v>1165</v>
      </c>
      <c r="AN246" t="s">
        <v>27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1521</v>
      </c>
    </row>
    <row r="247" spans="1:56" x14ac:dyDescent="0.25">
      <c r="B247" s="31" t="s">
        <v>845</v>
      </c>
      <c r="C247" t="s">
        <v>860</v>
      </c>
      <c r="D247" t="s">
        <v>855</v>
      </c>
      <c r="E247" t="s">
        <v>864</v>
      </c>
      <c r="F247" t="str">
        <f t="shared" si="86"/>
        <v>IBMA2</v>
      </c>
      <c r="G247" t="str">
        <f t="shared" si="87"/>
        <v>MEHQ</v>
      </c>
      <c r="H247" s="12" t="s">
        <v>878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39">
        <f t="shared" si="97"/>
        <v>28</v>
      </c>
      <c r="N247" s="39" t="str">
        <f t="shared" si="98"/>
        <v>IA</v>
      </c>
      <c r="O247" s="39">
        <f t="shared" si="99"/>
        <v>5</v>
      </c>
      <c r="P247" s="39" t="s">
        <v>923</v>
      </c>
      <c r="Q247" s="39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27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1">
        <f t="shared" si="90"/>
        <v>0</v>
      </c>
      <c r="AE247" s="21">
        <f t="shared" si="104"/>
        <v>25.2</v>
      </c>
      <c r="AF247" s="21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1502</v>
      </c>
      <c r="AM247" t="s">
        <v>1166</v>
      </c>
      <c r="AN247" t="s">
        <v>27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1521</v>
      </c>
    </row>
    <row r="248" spans="1:56" x14ac:dyDescent="0.25">
      <c r="B248" s="31" t="s">
        <v>845</v>
      </c>
      <c r="C248" t="s">
        <v>860</v>
      </c>
      <c r="D248" t="s">
        <v>855</v>
      </c>
      <c r="E248" t="s">
        <v>865</v>
      </c>
      <c r="F248" t="str">
        <f t="shared" si="86"/>
        <v>IBMA2</v>
      </c>
      <c r="G248" t="str">
        <f t="shared" si="87"/>
        <v>MEHQ</v>
      </c>
      <c r="H248" s="12" t="s">
        <v>878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39">
        <f t="shared" si="97"/>
        <v>50</v>
      </c>
      <c r="N248" s="39" t="str">
        <f t="shared" si="98"/>
        <v>IA</v>
      </c>
      <c r="O248" s="39">
        <f t="shared" si="99"/>
        <v>5</v>
      </c>
      <c r="P248" s="39" t="s">
        <v>923</v>
      </c>
      <c r="Q248" s="39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27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1">
        <f t="shared" si="90"/>
        <v>0</v>
      </c>
      <c r="AE248" s="21">
        <f t="shared" si="104"/>
        <v>45</v>
      </c>
      <c r="AF248" s="21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1503</v>
      </c>
      <c r="AM248" t="s">
        <v>1167</v>
      </c>
      <c r="AN248" t="s">
        <v>27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1521</v>
      </c>
    </row>
    <row r="249" spans="1:56" x14ac:dyDescent="0.25">
      <c r="B249" s="31" t="s">
        <v>845</v>
      </c>
      <c r="C249" t="s">
        <v>860</v>
      </c>
      <c r="D249" t="s">
        <v>855</v>
      </c>
      <c r="E249" t="s">
        <v>866</v>
      </c>
      <c r="F249" t="str">
        <f t="shared" si="86"/>
        <v>IBMA2</v>
      </c>
      <c r="G249" t="str">
        <f t="shared" si="87"/>
        <v>MEHQ</v>
      </c>
      <c r="H249" s="12" t="s">
        <v>878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39">
        <f t="shared" si="97"/>
        <v>100</v>
      </c>
      <c r="N249" s="39" t="str">
        <f t="shared" si="98"/>
        <v>IA</v>
      </c>
      <c r="O249" s="39">
        <f t="shared" si="99"/>
        <v>5</v>
      </c>
      <c r="P249" s="39" t="s">
        <v>923</v>
      </c>
      <c r="Q249" s="39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27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1">
        <f t="shared" si="90"/>
        <v>0</v>
      </c>
      <c r="AE249" s="21">
        <f t="shared" si="104"/>
        <v>90</v>
      </c>
      <c r="AF249" s="21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1504</v>
      </c>
      <c r="AM249" t="s">
        <v>1168</v>
      </c>
      <c r="AN249" t="s">
        <v>27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1521</v>
      </c>
    </row>
    <row r="250" spans="1:56" x14ac:dyDescent="0.25">
      <c r="B250" s="31" t="s">
        <v>845</v>
      </c>
      <c r="C250" t="s">
        <v>860</v>
      </c>
      <c r="D250" t="s">
        <v>853</v>
      </c>
      <c r="E250" t="s">
        <v>867</v>
      </c>
      <c r="F250" t="str">
        <f t="shared" si="86"/>
        <v>IBMA2</v>
      </c>
      <c r="G250" t="str">
        <f t="shared" si="87"/>
        <v>IA</v>
      </c>
      <c r="H250" s="12" t="s">
        <v>878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39">
        <f t="shared" si="97"/>
        <v>5</v>
      </c>
      <c r="N250" s="39" t="str">
        <f t="shared" si="98"/>
        <v>IA</v>
      </c>
      <c r="O250" s="39">
        <f t="shared" si="99"/>
        <v>5</v>
      </c>
      <c r="P250" s="39" t="s">
        <v>923</v>
      </c>
      <c r="Q250" s="39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27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1">
        <f t="shared" si="90"/>
        <v>0</v>
      </c>
      <c r="AE250" s="21">
        <f t="shared" si="104"/>
        <v>0</v>
      </c>
      <c r="AF250" s="21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1505</v>
      </c>
      <c r="AM250" t="s">
        <v>1169</v>
      </c>
      <c r="AN250" t="s">
        <v>27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1521</v>
      </c>
    </row>
    <row r="251" spans="1:56" x14ac:dyDescent="0.25">
      <c r="B251" s="31" t="s">
        <v>845</v>
      </c>
      <c r="C251" t="s">
        <v>860</v>
      </c>
      <c r="D251" t="s">
        <v>853</v>
      </c>
      <c r="E251" t="s">
        <v>868</v>
      </c>
      <c r="F251" t="str">
        <f t="shared" si="86"/>
        <v>IBMA2</v>
      </c>
      <c r="G251" t="str">
        <f t="shared" si="87"/>
        <v>IA</v>
      </c>
      <c r="H251" s="12" t="s">
        <v>878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39">
        <f t="shared" si="97"/>
        <v>15</v>
      </c>
      <c r="N251" s="39" t="str">
        <f t="shared" si="98"/>
        <v>IA</v>
      </c>
      <c r="O251" s="39">
        <f t="shared" si="99"/>
        <v>5</v>
      </c>
      <c r="P251" s="39" t="s">
        <v>923</v>
      </c>
      <c r="Q251" s="39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27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1">
        <f t="shared" si="90"/>
        <v>9</v>
      </c>
      <c r="AE251" s="21">
        <f t="shared" si="104"/>
        <v>0</v>
      </c>
      <c r="AF251" s="21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1506</v>
      </c>
      <c r="AM251" t="s">
        <v>1170</v>
      </c>
      <c r="AN251" t="s">
        <v>27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1521</v>
      </c>
    </row>
    <row r="252" spans="1:56" x14ac:dyDescent="0.25">
      <c r="B252" s="31" t="s">
        <v>845</v>
      </c>
      <c r="C252" t="s">
        <v>869</v>
      </c>
      <c r="D252" t="s">
        <v>855</v>
      </c>
      <c r="E252" t="s">
        <v>865</v>
      </c>
      <c r="F252" t="str">
        <f t="shared" si="86"/>
        <v>IBMA2</v>
      </c>
      <c r="G252" t="str">
        <f t="shared" si="87"/>
        <v>MEHQ</v>
      </c>
      <c r="H252" s="12" t="s">
        <v>878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39">
        <f t="shared" si="97"/>
        <v>50</v>
      </c>
      <c r="N252" s="39" t="str">
        <f t="shared" si="98"/>
        <v>IA</v>
      </c>
      <c r="O252" s="39">
        <f t="shared" si="99"/>
        <v>5</v>
      </c>
      <c r="P252" s="39" t="s">
        <v>923</v>
      </c>
      <c r="Q252" s="39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27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1">
        <f t="shared" si="90"/>
        <v>0</v>
      </c>
      <c r="AE252" s="21">
        <f t="shared" si="104"/>
        <v>50</v>
      </c>
      <c r="AF252" s="21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1507</v>
      </c>
      <c r="AM252" t="s">
        <v>1171</v>
      </c>
      <c r="AN252" t="s">
        <v>27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1522</v>
      </c>
    </row>
    <row r="253" spans="1:56" x14ac:dyDescent="0.25">
      <c r="B253" s="31" t="s">
        <v>845</v>
      </c>
      <c r="C253" t="s">
        <v>869</v>
      </c>
      <c r="D253" t="s">
        <v>855</v>
      </c>
      <c r="E253" t="s">
        <v>866</v>
      </c>
      <c r="F253" t="str">
        <f t="shared" si="86"/>
        <v>IBMA2</v>
      </c>
      <c r="G253" t="str">
        <f t="shared" si="87"/>
        <v>MEHQ</v>
      </c>
      <c r="H253" s="12" t="s">
        <v>878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39">
        <f t="shared" si="97"/>
        <v>100</v>
      </c>
      <c r="N253" s="39" t="str">
        <f t="shared" si="98"/>
        <v>IA</v>
      </c>
      <c r="O253" s="39">
        <f t="shared" si="99"/>
        <v>5</v>
      </c>
      <c r="P253" s="39" t="s">
        <v>923</v>
      </c>
      <c r="Q253" s="39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27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1">
        <f t="shared" si="90"/>
        <v>0</v>
      </c>
      <c r="AE253" s="21">
        <f t="shared" si="104"/>
        <v>100</v>
      </c>
      <c r="AF253" s="21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1508</v>
      </c>
      <c r="AM253" t="s">
        <v>1172</v>
      </c>
      <c r="AN253" t="s">
        <v>27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1522</v>
      </c>
    </row>
    <row r="254" spans="1:56" x14ac:dyDescent="0.25">
      <c r="B254" s="31" t="s">
        <v>845</v>
      </c>
      <c r="C254" t="s">
        <v>870</v>
      </c>
      <c r="D254" t="s">
        <v>855</v>
      </c>
      <c r="E254" t="s">
        <v>863</v>
      </c>
      <c r="F254" t="str">
        <f t="shared" si="86"/>
        <v>IBMA2</v>
      </c>
      <c r="G254" t="str">
        <f t="shared" si="87"/>
        <v>MEHQ</v>
      </c>
      <c r="H254" s="12" t="s">
        <v>878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39">
        <f t="shared" si="97"/>
        <v>25</v>
      </c>
      <c r="N254" s="39" t="str">
        <f t="shared" si="98"/>
        <v>IA</v>
      </c>
      <c r="O254" s="39">
        <f t="shared" si="99"/>
        <v>5</v>
      </c>
      <c r="P254" s="39" t="s">
        <v>923</v>
      </c>
      <c r="Q254" s="39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27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1">
        <f t="shared" si="90"/>
        <v>0</v>
      </c>
      <c r="AE254" s="21">
        <f t="shared" si="104"/>
        <v>25</v>
      </c>
      <c r="AF254" s="21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1509</v>
      </c>
      <c r="AM254" t="s">
        <v>1173</v>
      </c>
      <c r="AN254" t="s">
        <v>27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1523</v>
      </c>
    </row>
    <row r="255" spans="1:56" x14ac:dyDescent="0.25">
      <c r="B255" s="31" t="s">
        <v>845</v>
      </c>
      <c r="C255" t="s">
        <v>870</v>
      </c>
      <c r="D255" t="s">
        <v>855</v>
      </c>
      <c r="E255" t="s">
        <v>866</v>
      </c>
      <c r="F255" t="str">
        <f t="shared" si="86"/>
        <v>IBMA2</v>
      </c>
      <c r="G255" t="str">
        <f t="shared" si="87"/>
        <v>MEHQ</v>
      </c>
      <c r="H255" s="12" t="s">
        <v>878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39">
        <f t="shared" si="97"/>
        <v>100</v>
      </c>
      <c r="N255" s="39" t="str">
        <f t="shared" si="98"/>
        <v>IA</v>
      </c>
      <c r="O255" s="39">
        <f t="shared" si="99"/>
        <v>5</v>
      </c>
      <c r="P255" s="39" t="s">
        <v>923</v>
      </c>
      <c r="Q255" s="39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27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1">
        <f t="shared" si="90"/>
        <v>0</v>
      </c>
      <c r="AE255" s="21">
        <f t="shared" si="104"/>
        <v>100</v>
      </c>
      <c r="AF255" s="21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1510</v>
      </c>
      <c r="AM255" t="s">
        <v>1174</v>
      </c>
      <c r="AN255" t="s">
        <v>27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1523</v>
      </c>
    </row>
    <row r="256" spans="1:56" x14ac:dyDescent="0.25">
      <c r="B256" s="31" t="s">
        <v>845</v>
      </c>
      <c r="C256" t="s">
        <v>871</v>
      </c>
      <c r="D256" t="s">
        <v>855</v>
      </c>
      <c r="E256" t="s">
        <v>861</v>
      </c>
      <c r="F256" t="str">
        <f t="shared" si="86"/>
        <v>IBMA2</v>
      </c>
      <c r="G256" t="str">
        <f t="shared" si="87"/>
        <v>MEHQ</v>
      </c>
      <c r="H256" s="12" t="s">
        <v>878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39">
        <f t="shared" si="97"/>
        <v>10</v>
      </c>
      <c r="N256" s="39" t="str">
        <f t="shared" si="98"/>
        <v>IA</v>
      </c>
      <c r="O256" s="39">
        <f t="shared" si="99"/>
        <v>5</v>
      </c>
      <c r="P256" s="39" t="s">
        <v>923</v>
      </c>
      <c r="Q256" s="39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27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1">
        <f t="shared" si="90"/>
        <v>0</v>
      </c>
      <c r="AE256" s="21">
        <f t="shared" si="104"/>
        <v>10</v>
      </c>
      <c r="AF256" s="21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1511</v>
      </c>
      <c r="AM256" t="s">
        <v>1175</v>
      </c>
      <c r="AN256" t="s">
        <v>27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1525</v>
      </c>
    </row>
    <row r="257" spans="2:56" x14ac:dyDescent="0.25">
      <c r="B257" s="31" t="s">
        <v>845</v>
      </c>
      <c r="C257" t="s">
        <v>871</v>
      </c>
      <c r="D257" t="s">
        <v>855</v>
      </c>
      <c r="E257" t="s">
        <v>862</v>
      </c>
      <c r="F257" t="str">
        <f t="shared" si="86"/>
        <v>IBMA2</v>
      </c>
      <c r="G257" t="str">
        <f t="shared" si="87"/>
        <v>MEHQ</v>
      </c>
      <c r="H257" s="12" t="s">
        <v>878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39">
        <f t="shared" si="97"/>
        <v>17</v>
      </c>
      <c r="N257" s="39" t="str">
        <f t="shared" si="98"/>
        <v>IA</v>
      </c>
      <c r="O257" s="39">
        <f t="shared" si="99"/>
        <v>5</v>
      </c>
      <c r="P257" s="39" t="s">
        <v>923</v>
      </c>
      <c r="Q257" s="39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27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1">
        <f t="shared" si="90"/>
        <v>0</v>
      </c>
      <c r="AE257" s="21">
        <f t="shared" si="104"/>
        <v>17</v>
      </c>
      <c r="AF257" s="21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1512</v>
      </c>
      <c r="AM257" t="s">
        <v>1176</v>
      </c>
      <c r="AN257" t="s">
        <v>27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1525</v>
      </c>
    </row>
    <row r="258" spans="2:56" x14ac:dyDescent="0.25">
      <c r="B258" s="31" t="s">
        <v>845</v>
      </c>
      <c r="C258" t="s">
        <v>871</v>
      </c>
      <c r="D258" t="s">
        <v>855</v>
      </c>
      <c r="E258" t="s">
        <v>872</v>
      </c>
      <c r="F258" t="str">
        <f t="shared" si="86"/>
        <v>IBMA2</v>
      </c>
      <c r="G258" t="str">
        <f t="shared" si="87"/>
        <v>MEHQ</v>
      </c>
      <c r="H258" s="12" t="s">
        <v>878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39">
        <f t="shared" si="97"/>
        <v>20</v>
      </c>
      <c r="N258" s="39" t="str">
        <f t="shared" si="98"/>
        <v>IA</v>
      </c>
      <c r="O258" s="39">
        <f t="shared" si="99"/>
        <v>5</v>
      </c>
      <c r="P258" s="39" t="s">
        <v>923</v>
      </c>
      <c r="Q258" s="39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27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1">
        <f t="shared" si="90"/>
        <v>0</v>
      </c>
      <c r="AE258" s="21">
        <f t="shared" si="104"/>
        <v>20</v>
      </c>
      <c r="AF258" s="21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1513</v>
      </c>
      <c r="AM258" t="s">
        <v>1177</v>
      </c>
      <c r="AN258" t="s">
        <v>27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1525</v>
      </c>
    </row>
    <row r="259" spans="2:56" x14ac:dyDescent="0.25">
      <c r="B259" s="31" t="s">
        <v>845</v>
      </c>
      <c r="C259" t="s">
        <v>871</v>
      </c>
      <c r="D259" t="s">
        <v>855</v>
      </c>
      <c r="E259" t="s">
        <v>863</v>
      </c>
      <c r="F259" t="str">
        <f t="shared" si="86"/>
        <v>IBMA2</v>
      </c>
      <c r="G259" t="str">
        <f t="shared" si="87"/>
        <v>MEHQ</v>
      </c>
      <c r="H259" s="12" t="s">
        <v>878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39">
        <f t="shared" si="97"/>
        <v>25</v>
      </c>
      <c r="N259" s="39" t="str">
        <f t="shared" si="98"/>
        <v>IA</v>
      </c>
      <c r="O259" s="39">
        <f t="shared" si="99"/>
        <v>5</v>
      </c>
      <c r="P259" s="39" t="s">
        <v>923</v>
      </c>
      <c r="Q259" s="39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27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1">
        <f t="shared" si="90"/>
        <v>0</v>
      </c>
      <c r="AE259" s="21">
        <f t="shared" si="104"/>
        <v>25</v>
      </c>
      <c r="AF259" s="21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1514</v>
      </c>
      <c r="AM259" t="s">
        <v>1178</v>
      </c>
      <c r="AN259" t="s">
        <v>27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1525</v>
      </c>
    </row>
    <row r="260" spans="2:56" x14ac:dyDescent="0.25">
      <c r="B260" s="31" t="s">
        <v>845</v>
      </c>
      <c r="C260" t="s">
        <v>871</v>
      </c>
      <c r="D260" t="s">
        <v>855</v>
      </c>
      <c r="E260" t="s">
        <v>865</v>
      </c>
      <c r="F260" t="str">
        <f t="shared" si="86"/>
        <v>IBMA2</v>
      </c>
      <c r="G260" t="str">
        <f t="shared" si="87"/>
        <v>MEHQ</v>
      </c>
      <c r="H260" s="12" t="s">
        <v>878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39">
        <f t="shared" si="97"/>
        <v>50</v>
      </c>
      <c r="N260" s="39" t="str">
        <f t="shared" si="98"/>
        <v>IA</v>
      </c>
      <c r="O260" s="39">
        <f t="shared" si="99"/>
        <v>5</v>
      </c>
      <c r="P260" s="39" t="s">
        <v>923</v>
      </c>
      <c r="Q260" s="39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27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1">
        <f t="shared" si="90"/>
        <v>0</v>
      </c>
      <c r="AE260" s="21">
        <f t="shared" si="104"/>
        <v>50</v>
      </c>
      <c r="AF260" s="21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1515</v>
      </c>
      <c r="AM260" t="s">
        <v>1179</v>
      </c>
      <c r="AN260" t="s">
        <v>27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1525</v>
      </c>
    </row>
    <row r="261" spans="2:56" x14ac:dyDescent="0.25">
      <c r="B261" s="31" t="s">
        <v>845</v>
      </c>
      <c r="C261" t="s">
        <v>871</v>
      </c>
      <c r="D261" t="s">
        <v>855</v>
      </c>
      <c r="E261" t="s">
        <v>866</v>
      </c>
      <c r="F261" t="str">
        <f t="shared" si="86"/>
        <v>IBMA2</v>
      </c>
      <c r="G261" t="str">
        <f t="shared" si="87"/>
        <v>MEHQ</v>
      </c>
      <c r="H261" s="12" t="s">
        <v>878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39">
        <f t="shared" si="97"/>
        <v>100</v>
      </c>
      <c r="N261" s="39" t="str">
        <f t="shared" si="98"/>
        <v>IA</v>
      </c>
      <c r="O261" s="39">
        <f t="shared" si="99"/>
        <v>5</v>
      </c>
      <c r="P261" s="39" t="s">
        <v>923</v>
      </c>
      <c r="Q261" s="39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27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1">
        <f t="shared" si="90"/>
        <v>0</v>
      </c>
      <c r="AE261" s="21">
        <f t="shared" si="104"/>
        <v>100</v>
      </c>
      <c r="AF261" s="21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1516</v>
      </c>
      <c r="AM261" t="s">
        <v>1180</v>
      </c>
      <c r="AN261" t="s">
        <v>27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1525</v>
      </c>
    </row>
    <row r="262" spans="2:56" x14ac:dyDescent="0.25">
      <c r="B262" s="31" t="s">
        <v>845</v>
      </c>
      <c r="C262" t="s">
        <v>871</v>
      </c>
      <c r="D262" t="s">
        <v>853</v>
      </c>
      <c r="E262" t="s">
        <v>867</v>
      </c>
      <c r="F262" t="str">
        <f t="shared" si="86"/>
        <v>IBMA2</v>
      </c>
      <c r="G262" t="str">
        <f t="shared" si="87"/>
        <v>IA</v>
      </c>
      <c r="H262" s="12" t="s">
        <v>878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39">
        <f t="shared" si="97"/>
        <v>5</v>
      </c>
      <c r="N262" s="39" t="str">
        <f t="shared" si="98"/>
        <v>IA</v>
      </c>
      <c r="O262" s="39">
        <f t="shared" si="99"/>
        <v>5</v>
      </c>
      <c r="P262" s="39" t="s">
        <v>923</v>
      </c>
      <c r="Q262" s="39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27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1">
        <f t="shared" si="90"/>
        <v>0</v>
      </c>
      <c r="AE262" s="21">
        <f t="shared" si="104"/>
        <v>0</v>
      </c>
      <c r="AF262" s="21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1517</v>
      </c>
      <c r="AM262" t="s">
        <v>1181</v>
      </c>
      <c r="AN262" t="s">
        <v>27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1525</v>
      </c>
    </row>
    <row r="263" spans="2:56" x14ac:dyDescent="0.25">
      <c r="B263" s="31" t="s">
        <v>845</v>
      </c>
      <c r="C263" t="s">
        <v>871</v>
      </c>
      <c r="D263" t="s">
        <v>853</v>
      </c>
      <c r="E263" t="s">
        <v>872</v>
      </c>
      <c r="F263" t="str">
        <f t="shared" si="86"/>
        <v>IBMA2</v>
      </c>
      <c r="G263" t="str">
        <f t="shared" si="87"/>
        <v>IA</v>
      </c>
      <c r="H263" s="12" t="s">
        <v>878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39">
        <f t="shared" si="97"/>
        <v>20</v>
      </c>
      <c r="N263" s="39" t="str">
        <f t="shared" si="98"/>
        <v>IA</v>
      </c>
      <c r="O263" s="39">
        <f t="shared" si="99"/>
        <v>5</v>
      </c>
      <c r="P263" s="39" t="s">
        <v>923</v>
      </c>
      <c r="Q263" s="39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27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1">
        <f t="shared" si="90"/>
        <v>15</v>
      </c>
      <c r="AE263" s="21">
        <f t="shared" si="104"/>
        <v>0</v>
      </c>
      <c r="AF263" s="21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1518</v>
      </c>
      <c r="AM263" t="s">
        <v>1182</v>
      </c>
      <c r="AN263" t="s">
        <v>27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1525</v>
      </c>
    </row>
    <row r="264" spans="2:56" x14ac:dyDescent="0.25">
      <c r="B264" s="31" t="s">
        <v>845</v>
      </c>
      <c r="C264" t="s">
        <v>871</v>
      </c>
      <c r="D264" t="s">
        <v>853</v>
      </c>
      <c r="E264" t="s">
        <v>866</v>
      </c>
      <c r="F264" t="str">
        <f t="shared" si="86"/>
        <v>IBMA2</v>
      </c>
      <c r="G264" t="str">
        <f t="shared" si="87"/>
        <v>IA</v>
      </c>
      <c r="H264" s="12" t="s">
        <v>878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39">
        <f t="shared" si="97"/>
        <v>100</v>
      </c>
      <c r="N264" s="39" t="str">
        <f t="shared" si="98"/>
        <v>IA</v>
      </c>
      <c r="O264" s="39">
        <f t="shared" si="99"/>
        <v>5</v>
      </c>
      <c r="P264" s="39" t="s">
        <v>923</v>
      </c>
      <c r="Q264" s="39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27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1">
        <f t="shared" si="90"/>
        <v>95</v>
      </c>
      <c r="AE264" s="21">
        <f t="shared" si="104"/>
        <v>0</v>
      </c>
      <c r="AF264" s="21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1519</v>
      </c>
      <c r="AM264" t="s">
        <v>1183</v>
      </c>
      <c r="AN264" t="s">
        <v>27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1525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SCGDXC</cp:lastModifiedBy>
  <dcterms:created xsi:type="dcterms:W3CDTF">2019-04-02T09:13:21Z</dcterms:created>
  <dcterms:modified xsi:type="dcterms:W3CDTF">2019-12-25T06:25:03Z</dcterms:modified>
</cp:coreProperties>
</file>